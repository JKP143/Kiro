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45" totalsRowShown="0">
  <autoFilter ref="A5:F4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money you move here (deposits/withdrawals/transfers) - use negative amounts for money out, and the filter arrows to search. Interest earned is listed automatically further down and is already included in your Current Balance - do not edit it.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(money you move — use the filters)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  <row r="47" ht="22" customHeight="1">
      <c r="A47" t="inlineStr" s="4">
        <is>
          <t xml:space="preserve">🪙 Interest Earned  (auto-posted — do not edit)</t>
        </is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ht="20" customHeight="1">
      <c r="A48" t="inlineStr" s="6">
        <is>
          <t xml:space="preserve">Date</t>
        </is>
      </c>
      <c r="B48" t="inlineStr" s="6">
        <is>
          <t xml:space="preserve">Type</t>
        </is>
      </c>
      <c r="C48" t="inlineStr" s="6">
        <is>
          <t xml:space="preserve">Bank</t>
        </is>
      </c>
      <c r="D48" t="inlineStr" s="6">
        <is>
          <t xml:space="preserve">Account</t>
        </is>
      </c>
      <c r="E48" t="inlineStr" s="6">
        <is>
          <t xml:space="preserve">Amount</t>
        </is>
      </c>
      <c r="F48" t="inlineStr" s="6">
        <is>
          <t xml:space="preserve">Notes</t>
        </is>
      </c>
    </row>
    <row r="49">
      <c r="A49" s="11">
        <f>TODAY()</f>
        <v>46208</v>
      </c>
      <c r="B49" t="inlineStr" s="7">
        <is>
          <t xml:space="preserve">Interest</t>
        </is>
      </c>
      <c r="C49" t="inlineStr" s="7">
        <is>
          <t xml:space="preserve">Maya</t>
        </is>
      </c>
      <c r="D49" t="inlineStr" s="7">
        <is>
          <t xml:space="preserve">Maya - Savings</t>
        </is>
      </c>
      <c r="E49" s="23">
        <f>IFERROR(VLOOKUP(D49,Interest!$D$6:$Q$19,13,FALSE),0)</f>
        <v>449.15</v>
      </c>
      <c r="F49" t="inlineStr" s="7">
        <is>
          <t xml:space="preserve">Interest earned to date</t>
        </is>
      </c>
    </row>
    <row r="50">
      <c r="A50" s="11">
        <f>TODAY()</f>
        <v>46208</v>
      </c>
      <c r="B50" t="inlineStr" s="7">
        <is>
          <t xml:space="preserve">Interest</t>
        </is>
      </c>
      <c r="C50" t="inlineStr" s="7">
        <is>
          <t xml:space="preserve">Maya</t>
        </is>
      </c>
      <c r="D50" t="inlineStr" s="7">
        <is>
          <t xml:space="preserve">Maya - Time Deposit 1</t>
        </is>
      </c>
      <c r="E50" s="23">
        <f>IFERROR(VLOOKUP(D50,Interest!$D$6:$Q$19,13,FALSE),0)</f>
        <v>500.0</v>
      </c>
      <c r="F50" t="inlineStr" s="7">
        <is>
          <t xml:space="preserve">Interest earned to date</t>
        </is>
      </c>
    </row>
    <row r="51">
      <c r="A51" s="11">
        <f>TODAY()</f>
        <v>46208</v>
      </c>
      <c r="B51" t="inlineStr" s="7">
        <is>
          <t xml:space="preserve">Interest</t>
        </is>
      </c>
      <c r="C51" t="inlineStr" s="7">
        <is>
          <t xml:space="preserve">Maya</t>
        </is>
      </c>
      <c r="D51" t="inlineStr" s="7">
        <is>
          <t xml:space="preserve">Maya - Time Deposit 2</t>
        </is>
      </c>
      <c r="E51" s="23">
        <f>IFERROR(VLOOKUP(D51,Interest!$D$6:$Q$19,13,FALSE),0)</f>
        <v>500.0</v>
      </c>
      <c r="F51" t="inlineStr" s="7">
        <is>
          <t xml:space="preserve">Interest earned to date</t>
        </is>
      </c>
    </row>
    <row r="52">
      <c r="A52" s="11">
        <f>TODAY()</f>
        <v>46208</v>
      </c>
      <c r="B52" t="inlineStr" s="7">
        <is>
          <t xml:space="preserve">Interest</t>
        </is>
      </c>
      <c r="C52" t="inlineStr" s="7">
        <is>
          <t xml:space="preserve">Maya</t>
        </is>
      </c>
      <c r="D52" t="inlineStr" s="7">
        <is>
          <t xml:space="preserve">Maya - Personal Goal</t>
        </is>
      </c>
      <c r="E52" s="23">
        <f>IFERROR(VLOOKUP(D52,Interest!$D$6:$Q$19,13,FALSE),0)</f>
        <v>116.67</v>
      </c>
      <c r="F52" t="inlineStr" s="7">
        <is>
          <t xml:space="preserve">Interest earned to date</t>
        </is>
      </c>
    </row>
    <row r="53">
      <c r="A53" s="11">
        <f>TODAY()</f>
        <v>46208</v>
      </c>
      <c r="B53" t="inlineStr" s="7">
        <is>
          <t xml:space="preserve">Interest</t>
        </is>
      </c>
      <c r="C53" t="inlineStr" s="7">
        <is>
          <t xml:space="preserve">UNO</t>
        </is>
      </c>
      <c r="D53" t="inlineStr" s="7">
        <is>
          <t xml:space="preserve">UNO - Digi Savings</t>
        </is>
      </c>
      <c r="E53" s="23">
        <f>IFERROR(VLOOKUP(D53,Interest!$D$6:$Q$19,13,FALSE),0)</f>
        <v>81.64</v>
      </c>
      <c r="F53" t="inlineStr" s="7">
        <is>
          <t xml:space="preserve">Interest earned to date</t>
        </is>
      </c>
    </row>
    <row r="54">
      <c r="A54" s="11">
        <f>TODAY()</f>
        <v>46208</v>
      </c>
      <c r="B54" t="inlineStr" s="7">
        <is>
          <t xml:space="preserve">Interest</t>
        </is>
      </c>
      <c r="C54" t="inlineStr" s="7">
        <is>
          <t xml:space="preserve">UNO</t>
        </is>
      </c>
      <c r="D54" t="inlineStr" s="7">
        <is>
          <t xml:space="preserve">UNO - Time Deposit 1</t>
        </is>
      </c>
      <c r="E54" s="23">
        <f>IFERROR(VLOOKUP(D54,Interest!$D$6:$Q$19,13,FALSE),0)</f>
        <v>250.0</v>
      </c>
      <c r="F54" t="inlineStr" s="7">
        <is>
          <t xml:space="preserve">Interest earned to date</t>
        </is>
      </c>
    </row>
    <row r="55">
      <c r="A55" s="11">
        <f>TODAY()</f>
        <v>46208</v>
      </c>
      <c r="B55" t="inlineStr" s="7">
        <is>
          <t xml:space="preserve">Interest</t>
        </is>
      </c>
      <c r="C55" t="inlineStr" s="7">
        <is>
          <t xml:space="preserve">UNO</t>
        </is>
      </c>
      <c r="D55" t="inlineStr" s="7">
        <is>
          <t xml:space="preserve">UNO - Time Deposit 2</t>
        </is>
      </c>
      <c r="E55" s="23">
        <f>IFERROR(VLOOKUP(D55,Interest!$D$6:$Q$19,13,FALSE),0)</f>
        <v>250.0</v>
      </c>
      <c r="F55" t="inlineStr" s="7">
        <is>
          <t xml:space="preserve">Interest earned to date</t>
        </is>
      </c>
    </row>
    <row r="56">
      <c r="A56" s="11">
        <f>TODAY()</f>
        <v>46208</v>
      </c>
      <c r="B56" t="inlineStr" s="7">
        <is>
          <t xml:space="preserve">Interest</t>
        </is>
      </c>
      <c r="C56" t="inlineStr" s="7">
        <is>
          <t xml:space="preserve">Tonik</t>
        </is>
      </c>
      <c r="D56" t="inlineStr" s="7">
        <is>
          <t xml:space="preserve">Tonik - Stash 1</t>
        </is>
      </c>
      <c r="E56" s="23">
        <f>IFERROR(VLOOKUP(D56,Interest!$D$6:$Q$19,13,FALSE),0)</f>
        <v>33.33</v>
      </c>
      <c r="F56" t="inlineStr" s="7">
        <is>
          <t xml:space="preserve">Interest earned to date</t>
        </is>
      </c>
    </row>
    <row r="57">
      <c r="A57" s="11">
        <f>TODAY()</f>
        <v>46208</v>
      </c>
      <c r="B57" t="inlineStr" s="7">
        <is>
          <t xml:space="preserve">Interest</t>
        </is>
      </c>
      <c r="C57" t="inlineStr" s="7">
        <is>
          <t xml:space="preserve">Tonik</t>
        </is>
      </c>
      <c r="D57" t="inlineStr" s="7">
        <is>
          <t xml:space="preserve">Tonik - Stash 2</t>
        </is>
      </c>
      <c r="E57" s="23">
        <f>IFERROR(VLOOKUP(D57,Interest!$D$6:$Q$19,13,FALSE),0)</f>
        <v>33.33</v>
      </c>
      <c r="F57" t="inlineStr" s="7">
        <is>
          <t xml:space="preserve">Interest earned to date</t>
        </is>
      </c>
    </row>
    <row r="58">
      <c r="A58" s="11">
        <f>TODAY()</f>
        <v>46208</v>
      </c>
      <c r="B58" t="inlineStr" s="7">
        <is>
          <t xml:space="preserve">Interest</t>
        </is>
      </c>
      <c r="C58" t="inlineStr" s="7">
        <is>
          <t xml:space="preserve">Tonik</t>
        </is>
      </c>
      <c r="D58" t="inlineStr" s="7">
        <is>
          <t xml:space="preserve">Tonik - Time Deposit</t>
        </is>
      </c>
      <c r="E58" s="23">
        <f>IFERROR(VLOOKUP(D58,Interest!$D$6:$Q$19,13,FALSE),0)</f>
        <v>200.0</v>
      </c>
      <c r="F58" t="inlineStr" s="7">
        <is>
          <t xml:space="preserve">Interest earned to date</t>
        </is>
      </c>
    </row>
    <row r="59">
      <c r="A59" s="11">
        <f>TODAY()</f>
        <v>46208</v>
      </c>
      <c r="B59" t="inlineStr" s="7">
        <is>
          <t xml:space="preserve">Interest</t>
        </is>
      </c>
      <c r="C59" t="inlineStr" s="7">
        <is>
          <t xml:space="preserve">Banko</t>
        </is>
      </c>
      <c r="D59" t="inlineStr" s="7">
        <is>
          <t xml:space="preserve">Banko - Savings</t>
        </is>
      </c>
      <c r="E59" s="23">
        <f>IFERROR(VLOOKUP(D59,Interest!$D$6:$Q$19,13,FALSE),0)</f>
        <v>70.02</v>
      </c>
      <c r="F59" t="inlineStr" s="7">
        <is>
          <t xml:space="preserve">Interest earned to date</t>
        </is>
      </c>
    </row>
    <row r="60">
      <c r="A60" s="11">
        <f>TODAY()</f>
        <v>46208</v>
      </c>
      <c r="B60" t="inlineStr" s="7">
        <is>
          <t xml:space="preserve">Interest</t>
        </is>
      </c>
      <c r="C60" t="inlineStr" s="7">
        <is>
          <t xml:space="preserve">CIMB</t>
        </is>
      </c>
      <c r="D60" t="inlineStr" s="7">
        <is>
          <t xml:space="preserve">CIMB - Savings</t>
        </is>
      </c>
      <c r="E60" s="23">
        <f>IFERROR(VLOOKUP(D60,Interest!$D$6:$Q$19,13,FALSE),0)</f>
        <v>21.45</v>
      </c>
      <c r="F60" t="inlineStr" s="7">
        <is>
          <t xml:space="preserve">Interest earned to date</t>
        </is>
      </c>
    </row>
    <row r="61">
      <c r="A61" s="11">
        <f>TODAY()</f>
        <v>46208</v>
      </c>
      <c r="B61" t="inlineStr" s="7">
        <is>
          <t xml:space="preserve">Interest</t>
        </is>
      </c>
      <c r="C61" t="inlineStr" s="7">
        <is>
          <t xml:space="preserve">GoTyme</t>
        </is>
      </c>
      <c r="D61" t="inlineStr" s="7">
        <is>
          <t xml:space="preserve">GoTyme - GoSave</t>
        </is>
      </c>
      <c r="E61" s="23">
        <f>IFERROR(VLOOKUP(D61,Interest!$D$6:$Q$19,13,FALSE),0)</f>
        <v>30.0</v>
      </c>
      <c r="F61" t="inlineStr" s="7">
        <is>
          <t xml:space="preserve">Interest earned to date</t>
        </is>
      </c>
    </row>
    <row r="62">
      <c r="A62" s="11">
        <f>TODAY()</f>
        <v>46208</v>
      </c>
      <c r="B62" t="inlineStr" s="7">
        <is>
          <t xml:space="preserve">Interest</t>
        </is>
      </c>
      <c r="C62" t="inlineStr" s="7">
        <is>
          <t xml:space="preserve">Maribank</t>
        </is>
      </c>
      <c r="D62" t="inlineStr" s="7">
        <is>
          <t xml:space="preserve">Maribank - Savings</t>
        </is>
      </c>
      <c r="E62" s="23">
        <f>IFERROR(VLOOKUP(D62,Interest!$D$6:$Q$19,13,FALSE),0)</f>
        <v>24.25</v>
      </c>
      <c r="F62" t="inlineStr" s="7">
        <is>
          <t xml:space="preserve">Interest earned to date</t>
        </is>
      </c>
    </row>
    <row r="63" ht="18" customHeight="1">
      <c r="A63" t="inlineStr" s="15">
        <is>
          <t xml:space="preserve"/>
        </is>
      </c>
      <c r="B63" t="inlineStr" s="15">
        <is>
          <t xml:space="preserve"/>
        </is>
      </c>
      <c r="C63" t="inlineStr" s="15">
        <is>
          <t xml:space="preserve"/>
        </is>
      </c>
      <c r="D63" t="inlineStr" s="15">
        <is>
          <t xml:space="preserve">Total interest</t>
        </is>
      </c>
      <c r="E63" s="16">
        <f>SUM(E49:E62)</f>
        <v>2559.84</v>
      </c>
      <c r="F63" t="inlineStr" s="15">
        <is>
          <t xml:space="preserve"/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47:M47"/>
  </mergeCells>
  <dataValidations count="3">
    <dataValidation type="list" allowBlank="1" showInputMessage="1" showErrorMessage="1" promptTitle="Pick a type" prompt="Choose the transaction type. (Interest is added automatically below - no need to record it here.)" sqref="B6:B45">
      <formula1>"Deposit,Withdrawal,Transfer,Adjustment,Fee"</formula1>
    </dataValidation>
    <dataValidation type="list" allowBlank="1" showInputMessage="1" showErrorMessage="1" promptTitle="Pick a bank" prompt="Choose the bank from the drop-down list." sqref="C6:C45">
      <formula1>BankList</formula1>
    </dataValidation>
    <dataValidation type="list" allowBlank="1" showInputMessage="1" showErrorMessage="1" promptTitle="Pick an account" prompt="Choose the account from the drop-down list." sqref="D6:D4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is posted automatically on the Transactions tab and grows each day/month, so Current Balance rises on its own.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0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3" customWidth="1"/>
    <col min="10" max="10" width="13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  <col min="18" max="18" width="10" hidden="1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  <c r="R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Day (est.)</t>
        </is>
      </c>
      <c r="J5" t="inlineStr" s="6">
        <is>
          <t xml:space="preserve">Interest / Month (est.)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  <c r="R5" t="inlineStr" s="6">
        <is>
          <t xml:space="preserve">Periods / Yr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G6*E6/365</f>
        <v>13.15</v>
      </c>
      <c r="J6" s="8">
        <f>G6*E6/12</f>
        <v>400.0</v>
      </c>
      <c r="K6" s="8">
        <f>G6*(1+H6)^R6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  <c r="R6" s="10">
        <f>IF(F6="Daily",365,12)</f>
        <v>365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G7*E7/365</f>
        <v>16.44</v>
      </c>
      <c r="J7" s="8">
        <f>G7*E7/12</f>
        <v>500.0</v>
      </c>
      <c r="K7" s="8">
        <f>G7*(1+H7)^R7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  <c r="R7" s="10">
        <f>IF(F7="Daily",365,12)</f>
        <v>12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G8*E8/365</f>
        <v>16.44</v>
      </c>
      <c r="J8" s="8">
        <f>G8*E8/12</f>
        <v>500.0</v>
      </c>
      <c r="K8" s="8">
        <f>G8*(1+H8)^R8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  <c r="R8" s="10">
        <f>IF(F8="Daily",365,12)</f>
        <v>12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G9*E9/365</f>
        <v>3.84</v>
      </c>
      <c r="J9" s="8">
        <f>G9*E9/12</f>
        <v>116.67</v>
      </c>
      <c r="K9" s="8">
        <f>G9*(1+H9)^R9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  <c r="R9" s="10">
        <f>IF(F9="Daily",365,12)</f>
        <v>12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G10*E10/365</f>
        <v>2.4</v>
      </c>
      <c r="J10" s="8">
        <f>G10*E10/12</f>
        <v>72.92</v>
      </c>
      <c r="K10" s="8">
        <f>G10*(1+H10)^R10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  <c r="R10" s="10">
        <f>IF(F10="Daily",365,12)</f>
        <v>365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G11*E11/365</f>
        <v>8.22</v>
      </c>
      <c r="J11" s="8">
        <f>G11*E11/12</f>
        <v>250.0</v>
      </c>
      <c r="K11" s="8">
        <f>G11*(1+H11)^R11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  <c r="R11" s="10">
        <f>IF(F11="Daily",365,12)</f>
        <v>12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G12*E12/365</f>
        <v>8.22</v>
      </c>
      <c r="J12" s="8">
        <f>G12*E12/12</f>
        <v>250.0</v>
      </c>
      <c r="K12" s="8">
        <f>G12*(1+H12)^R12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  <c r="R12" s="10">
        <f>IF(F12="Daily",365,12)</f>
        <v>12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G13*E13/365</f>
        <v>1.1</v>
      </c>
      <c r="J13" s="8">
        <f>G13*E13/12</f>
        <v>33.33</v>
      </c>
      <c r="K13" s="8">
        <f>G13*(1+H13)^R13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  <c r="R13" s="10">
        <f>IF(F13="Daily",365,12)</f>
        <v>12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G14*E14/365</f>
        <v>1.1</v>
      </c>
      <c r="J14" s="8">
        <f>G14*E14/12</f>
        <v>33.33</v>
      </c>
      <c r="K14" s="8">
        <f>G14*(1+H14)^R14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  <c r="R14" s="10">
        <f>IF(F14="Daily",365,12)</f>
        <v>12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G15*E15/365</f>
        <v>6.58</v>
      </c>
      <c r="J15" s="8">
        <f>G15*E15/12</f>
        <v>200.0</v>
      </c>
      <c r="K15" s="8">
        <f>G15*(1+H15)^R15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  <c r="R15" s="10">
        <f>IF(F15="Daily",365,12)</f>
        <v>12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G16*E16/365</f>
        <v>2.05</v>
      </c>
      <c r="J16" s="8">
        <f>G16*E16/12</f>
        <v>62.5</v>
      </c>
      <c r="K16" s="8">
        <f>G16*(1+H16)^R16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  <c r="R16" s="10">
        <f>IF(F16="Daily",365,12)</f>
        <v>365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G17*E17/365</f>
        <v>0.63</v>
      </c>
      <c r="J17" s="8">
        <f>G17*E17/12</f>
        <v>19.17</v>
      </c>
      <c r="K17" s="8">
        <f>G17*(1+H17)^R17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  <c r="R17" s="10">
        <f>IF(F17="Daily",365,12)</f>
        <v>365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G18*E18/365</f>
        <v>0.99</v>
      </c>
      <c r="J18" s="8">
        <f>G18*E18/12</f>
        <v>30.0</v>
      </c>
      <c r="K18" s="8">
        <f>G18*(1+H18)^R18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  <c r="R18" s="10">
        <f>IF(F18="Daily",365,12)</f>
        <v>12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G19*E19/365</f>
        <v>0.71</v>
      </c>
      <c r="J19" s="8">
        <f>G19*E19/12</f>
        <v>21.67</v>
      </c>
      <c r="K19" s="8">
        <f>G19*(1+H19)^R19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  <c r="R19" s="10">
        <f>IF(F19="Daily",365,12)</f>
        <v>365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81.87</v>
      </c>
      <c r="J20" s="16">
        <f>SUM(J6:J19)</f>
        <v>2489.59</v>
      </c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  <c r="R20" s="15"/>
    </row>
  </sheetData>
  <mergeCells count="8">
    <mergeCell ref="A1:R1"/>
    <mergeCell ref="A2:B2"/>
    <mergeCell ref="C2:D2"/>
    <mergeCell ref="E2:F2"/>
    <mergeCell ref="G2:H2"/>
    <mergeCell ref="I2:J2"/>
    <mergeCell ref="A3:R3"/>
    <mergeCell ref="A4:R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