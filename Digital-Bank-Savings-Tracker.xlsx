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shboard" sheetId="1" r:id="rId1"/>
    <sheet name="Deposit" sheetId="2" r:id="rId2"/>
    <sheet name="Transactions" sheetId="3" r:id="rId3"/>
    <sheet name="Balance" sheetId="4" r:id="rId4"/>
    <sheet name="Interest" sheetId="5" r:id="rId5"/>
  </sheets>
  <calcPr calcId="0" fullCalcOnLoad="1"/>
</workbook>
</file>

<file path=xl/styles.xml><?xml version="1.0" encoding="utf-8"?>
<styleSheet xmlns="http://schemas.openxmlformats.org/spreadsheetml/2006/main">
  <numFmts count="1">
    <numFmt numFmtId="164" formatCode="&quot;PHP &quot;#,##0.00"/>
  </numFmts>
  <fonts count="10">
    <font>
      <sz val="11"/>
      <name val="Calibri"/>
      <color rgb="FF000000"/>
    </font>
    <font>
      <b/>
      <sz val="18"/>
      <name val="Calibri"/>
      <color rgb="FFFFFFFF"/>
    </font>
    <font>
      <b/>
      <sz val="11"/>
      <name val="Calibri"/>
      <color rgb="FFFFFFFF"/>
    </font>
    <font>
      <b/>
      <sz val="11"/>
      <name val="Calibri"/>
      <color rgb="FF1F3864"/>
    </font>
    <font>
      <b/>
      <sz val="20"/>
      <name val="Calibri"/>
      <color rgb="FF1F3864"/>
    </font>
    <font>
      <i/>
      <sz val="10"/>
      <name val="Calibri"/>
      <color rgb="FF808080"/>
    </font>
    <font>
      <b/>
      <sz val="11"/>
      <name val="Calibri"/>
      <color rgb="FF000000"/>
    </font>
    <font>
      <b/>
      <sz val="12"/>
      <name val="Calibri"/>
      <color rgb="FFFFFFFF"/>
    </font>
    <font>
      <sz val="9"/>
      <name val="Calibri"/>
      <color rgb="FF808080"/>
    </font>
    <font>
      <b/>
      <sz val="11"/>
      <name val="Calibri"/>
      <color rgb="FF375623"/>
    </font>
  </fonts>
  <fills count="9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2EFDA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0">
    <xf numFmtId="0" fontId="0" fillId="0" borderId="0" xfId="0" applyFont="1" applyFill="1" applyBorder="1"/>
    <xf numFmtId="0" fontId="1" fillId="2" borderId="0" xfId="0" applyFont="1" applyFill="1" applyBorder="1" applyAlignment="1">
      <alignment horizontal="left" vertical="center"/>
    </xf>
    <xf numFmtId="0" fontId="2" fillId="2" borderId="0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7" fillId="4" borderId="0" xfId="0" applyFont="1" applyFill="1" applyBorder="1" applyAlignment="1">
      <alignment horizontal="left" vertical="center"/>
    </xf>
    <xf numFmtId="0" fontId="5" fillId="5" borderId="0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/>
    </xf>
    <xf numFmtId="164" fontId="0" fillId="0" borderId="1" xfId="0" applyFont="1" applyFill="1" applyBorder="1" applyNumberFormat="1" applyAlignment="1">
      <alignment vertical="center"/>
    </xf>
    <xf numFmtId="10" fontId="0" fillId="0" borderId="1" xfId="0" applyFont="1" applyFill="1" applyBorder="1" applyNumberFormat="1" applyAlignment="1">
      <alignment horizontal="center" vertical="center"/>
    </xf>
    <xf numFmtId="1" fontId="0" fillId="0" borderId="1" xfId="0" applyFont="1" applyFill="1" applyBorder="1" applyNumberFormat="1" applyAlignment="1">
      <alignment horizontal="center" vertical="center"/>
    </xf>
    <xf numFmtId="14" fontId="0" fillId="0" borderId="1" xfId="0" applyFont="1" applyFill="1" applyBorder="1" applyNumberFormat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164" fontId="4" fillId="7" borderId="1" xfId="0" applyFont="1" applyFill="1" applyBorder="1" applyNumberFormat="1" applyAlignment="1">
      <alignment horizontal="center" vertical="center"/>
    </xf>
    <xf numFmtId="1" fontId="4" fillId="7" borderId="1" xfId="0" applyFont="1" applyFill="1" applyBorder="1" applyNumberFormat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164" fontId="6" fillId="8" borderId="1" xfId="0" applyFont="1" applyFill="1" applyBorder="1" applyNumberFormat="1" applyAlignment="1">
      <alignment vertical="center"/>
    </xf>
    <xf numFmtId="0" fontId="8" fillId="5" borderId="0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horizontal="center" vertical="center"/>
    </xf>
    <xf numFmtId="164" fontId="0" fillId="0" borderId="0" xfId="0" applyFont="1" applyFill="1" applyBorder="1" applyNumberFormat="1" applyAlignment="1">
      <alignment vertical="center"/>
    </xf>
    <xf numFmtId="14" fontId="0" fillId="0" borderId="0" xfId="0" applyFont="1" applyFill="1" applyBorder="1" applyNumberFormat="1" applyAlignment="1">
      <alignment horizontal="center" vertical="center"/>
    </xf>
    <xf numFmtId="0" fontId="0" fillId="0" borderId="0" xfId="0" applyFont="1" applyFill="1" applyBorder="1" applyAlignment="1">
      <alignment vertical="center"/>
    </xf>
    <xf numFmtId="0" fontId="3" fillId="5" borderId="1" xfId="0" applyFont="1" applyFill="1" applyBorder="1" applyAlignment="1">
      <alignment horizontal="left" vertical="center"/>
    </xf>
    <xf numFmtId="164" fontId="9" fillId="8" borderId="1" xfId="0" applyFont="1" applyFill="1" applyBorder="1" applyNumberFormat="1" applyAlignment="1">
      <alignment vertical="center"/>
    </xf>
    <xf numFmtId="0" fontId="3" fillId="5" borderId="0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left" vertical="center"/>
    </xf>
    <xf numFmtId="164" fontId="3" fillId="0" borderId="1" xfId="0" applyFont="1" applyFill="1" applyBorder="1" applyNumberFormat="1" applyAlignment="1">
      <alignment horizontal="right" vertical="center"/>
    </xf>
    <xf numFmtId="10" fontId="9" fillId="0" borderId="1" xfId="0" applyFont="1" applyFill="1" applyBorder="1" applyNumberFormat="1" applyAlignment="1">
      <alignment horizontal="right" vertical="center"/>
    </xf>
    <xf numFmtId="164" fontId="3" fillId="6" borderId="1" xfId="0" applyFont="1" applyFill="1" applyBorder="1" applyNumberFormat="1" applyAlignment="1">
      <alignment horizontal="right" vertical="center"/>
    </xf>
    <xf numFmtId="164" fontId="0" fillId="0" borderId="1" xfId="0" applyFont="1" applyFill="1" applyBorder="1" applyNumberFormat="1" applyAlignment="1">
      <alignment horizontal="right" vertic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200" b="1">
                <a:solidFill>
                  <a:srgbClr val="1F3864"/>
                </a:solidFill>
              </a:defRPr>
            </a:pPr>
            <a:r>
              <a:rPr lang="en-US" sz="1200" b="1">
                <a:solidFill>
                  <a:srgbClr val="1F3864"/>
                </a:solidFill>
              </a:rPr>
              <a:t>Savings Growth by Bank (Cumulative Balance)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Dashboard!$B$79</c:f>
              <c:strCache>
                <c:ptCount val="1"/>
                <c:pt idx="0">
                  <c:v>Maya</c:v>
                </c:pt>
              </c:strCache>
            </c:strRef>
          </c:tx>
          <c:spPr>
            <a:ln w="28575">
              <a:solidFill>
                <a:srgbClr val="4472C4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Dashboard!$B$80:$B$103</c:f>
              <c:numCache>
                <c:formatCode>General</c:formatCode>
                <c:ptCount val="24"/>
                <c:pt idx="0">
                  <c:v>273000.0</c:v>
                </c:pt>
                <c:pt idx="1">
                  <c:v>274518.2827</c:v>
                </c:pt>
                <c:pt idx="2">
                  <c:v>276045.4702</c:v>
                </c:pt>
                <c:pt idx="3">
                  <c:v>277581.6181</c:v>
                </c:pt>
                <c:pt idx="4">
                  <c:v>279126.7825</c:v>
                </c:pt>
                <c:pt idx="5">
                  <c:v>280681.0197</c:v>
                </c:pt>
                <c:pt idx="6">
                  <c:v>282244.3866</c:v>
                </c:pt>
                <c:pt idx="7">
                  <c:v>283816.9403</c:v>
                </c:pt>
                <c:pt idx="8">
                  <c:v>285398.7383</c:v>
                </c:pt>
                <c:pt idx="9">
                  <c:v>286989.8385</c:v>
                </c:pt>
                <c:pt idx="10">
                  <c:v>288590.2994</c:v>
                </c:pt>
                <c:pt idx="11">
                  <c:v>290200.1795</c:v>
                </c:pt>
                <c:pt idx="12">
                  <c:v>291819.5381</c:v>
                </c:pt>
                <c:pt idx="13">
                  <c:v>293448.4346</c:v>
                </c:pt>
                <c:pt idx="14">
                  <c:v>295086.9288</c:v>
                </c:pt>
                <c:pt idx="15">
                  <c:v>296735.0811</c:v>
                </c:pt>
                <c:pt idx="16">
                  <c:v>298392.9523</c:v>
                </c:pt>
                <c:pt idx="17">
                  <c:v>300060.6034</c:v>
                </c:pt>
                <c:pt idx="18">
                  <c:v>301738.0959</c:v>
                </c:pt>
                <c:pt idx="19">
                  <c:v>303425.4918</c:v>
                </c:pt>
                <c:pt idx="20">
                  <c:v>305122.8534</c:v>
                </c:pt>
                <c:pt idx="21">
                  <c:v>306830.2436</c:v>
                </c:pt>
                <c:pt idx="22">
                  <c:v>308547.7254</c:v>
                </c:pt>
                <c:pt idx="23">
                  <c:v>310275.3626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Dashboard!$C$79</c:f>
              <c:strCache>
                <c:ptCount val="1"/>
                <c:pt idx="0">
                  <c:v>UNO</c:v>
                </c:pt>
              </c:strCache>
            </c:strRef>
          </c:tx>
          <c:spPr>
            <a:ln w="28575">
              <a:solidFill>
                <a:srgbClr val="ED7D31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Dashboard!$C$80:$C$103</c:f>
              <c:numCache>
                <c:formatCode>General</c:formatCode>
                <c:ptCount val="24"/>
                <c:pt idx="0">
                  <c:v>125000.0</c:v>
                </c:pt>
                <c:pt idx="1">
                  <c:v>125573.0196</c:v>
                </c:pt>
                <c:pt idx="2">
                  <c:v>126148.7525</c:v>
                </c:pt>
                <c:pt idx="3">
                  <c:v>126727.2117</c:v>
                </c:pt>
                <c:pt idx="4">
                  <c:v>127308.4106</c:v>
                </c:pt>
                <c:pt idx="5">
                  <c:v>127892.3623</c:v>
                </c:pt>
                <c:pt idx="6">
                  <c:v>128479.0801</c:v>
                </c:pt>
                <c:pt idx="7">
                  <c:v>129068.5775</c:v>
                </c:pt>
                <c:pt idx="8">
                  <c:v>129660.8679</c:v>
                </c:pt>
                <c:pt idx="9">
                  <c:v>130255.9648</c:v>
                </c:pt>
                <c:pt idx="10">
                  <c:v>130853.8817</c:v>
                </c:pt>
                <c:pt idx="11">
                  <c:v>131454.6324</c:v>
                </c:pt>
                <c:pt idx="12">
                  <c:v>132058.2305</c:v>
                </c:pt>
                <c:pt idx="13">
                  <c:v>132664.6898</c:v>
                </c:pt>
                <c:pt idx="14">
                  <c:v>133274.0242</c:v>
                </c:pt>
                <c:pt idx="15">
                  <c:v>133886.2475</c:v>
                </c:pt>
                <c:pt idx="16">
                  <c:v>134501.3739</c:v>
                </c:pt>
                <c:pt idx="17">
                  <c:v>135119.4172</c:v>
                </c:pt>
                <c:pt idx="18">
                  <c:v>135740.3917</c:v>
                </c:pt>
                <c:pt idx="19">
                  <c:v>136364.3115</c:v>
                </c:pt>
                <c:pt idx="20">
                  <c:v>136991.1909</c:v>
                </c:pt>
                <c:pt idx="21">
                  <c:v>137621.0443</c:v>
                </c:pt>
                <c:pt idx="22">
                  <c:v>138253.8859</c:v>
                </c:pt>
                <c:pt idx="23">
                  <c:v>138889.7304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Dashboard!$D$79</c:f>
              <c:strCache>
                <c:ptCount val="1"/>
                <c:pt idx="0">
                  <c:v>Tonik</c:v>
                </c:pt>
              </c:strCache>
            </c:strRef>
          </c:tx>
          <c:spPr>
            <a:ln w="28575">
              <a:solidFill>
                <a:srgbClr val="70AD47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Dashboard!$D$80:$D$103</c:f>
              <c:numCache>
                <c:formatCode>General</c:formatCode>
                <c:ptCount val="24"/>
                <c:pt idx="0">
                  <c:v>50000.0</c:v>
                </c:pt>
                <c:pt idx="1">
                  <c:v>50266.6667</c:v>
                </c:pt>
                <c:pt idx="2">
                  <c:v>50534.8889</c:v>
                </c:pt>
                <c:pt idx="3">
                  <c:v>50804.6763</c:v>
                </c:pt>
                <c:pt idx="4">
                  <c:v>51076.0386</c:v>
                </c:pt>
                <c:pt idx="5">
                  <c:v>51348.9855</c:v>
                </c:pt>
                <c:pt idx="6">
                  <c:v>51623.5269</c:v>
                </c:pt>
                <c:pt idx="7">
                  <c:v>51899.6725</c:v>
                </c:pt>
                <c:pt idx="8">
                  <c:v>52177.4325</c:v>
                </c:pt>
                <c:pt idx="9">
                  <c:v>52456.8167</c:v>
                </c:pt>
                <c:pt idx="10">
                  <c:v>52737.8353</c:v>
                </c:pt>
                <c:pt idx="11">
                  <c:v>53020.4983</c:v>
                </c:pt>
                <c:pt idx="12">
                  <c:v>53304.8161</c:v>
                </c:pt>
                <c:pt idx="13">
                  <c:v>53590.7987</c:v>
                </c:pt>
                <c:pt idx="14">
                  <c:v>53878.4567</c:v>
                </c:pt>
                <c:pt idx="15">
                  <c:v>54167.8003</c:v>
                </c:pt>
                <c:pt idx="16">
                  <c:v>54458.8401</c:v>
                </c:pt>
                <c:pt idx="17">
                  <c:v>54751.5865</c:v>
                </c:pt>
                <c:pt idx="18">
                  <c:v>55046.0502</c:v>
                </c:pt>
                <c:pt idx="19">
                  <c:v>55342.2418</c:v>
                </c:pt>
                <c:pt idx="20">
                  <c:v>55640.1721</c:v>
                </c:pt>
                <c:pt idx="21">
                  <c:v>55939.8519</c:v>
                </c:pt>
                <c:pt idx="22">
                  <c:v>56241.292</c:v>
                </c:pt>
                <c:pt idx="23">
                  <c:v>56544.5034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Dashboard!$E$79</c:f>
              <c:strCache>
                <c:ptCount val="1"/>
                <c:pt idx="0">
                  <c:v>Banko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Dashboard!$E$80:$E$103</c:f>
              <c:numCache>
                <c:formatCode>General</c:formatCode>
                <c:ptCount val="24"/>
                <c:pt idx="0">
                  <c:v>15062.5</c:v>
                </c:pt>
                <c:pt idx="1">
                  <c:v>15125.387</c:v>
                </c:pt>
                <c:pt idx="2">
                  <c:v>15188.5366</c:v>
                </c:pt>
                <c:pt idx="3">
                  <c:v>15251.9499</c:v>
                </c:pt>
                <c:pt idx="4">
                  <c:v>15315.6279</c:v>
                </c:pt>
                <c:pt idx="5">
                  <c:v>15379.5717</c:v>
                </c:pt>
                <c:pt idx="6">
                  <c:v>15443.7826</c:v>
                </c:pt>
                <c:pt idx="7">
                  <c:v>15508.2615</c:v>
                </c:pt>
                <c:pt idx="8">
                  <c:v>15573.0096</c:v>
                </c:pt>
                <c:pt idx="9">
                  <c:v>15638.028</c:v>
                </c:pt>
                <c:pt idx="10">
                  <c:v>15703.3179</c:v>
                </c:pt>
                <c:pt idx="11">
                  <c:v>15768.8804</c:v>
                </c:pt>
                <c:pt idx="12">
                  <c:v>15834.7167</c:v>
                </c:pt>
                <c:pt idx="13">
                  <c:v>15900.8278</c:v>
                </c:pt>
                <c:pt idx="14">
                  <c:v>15967.2149</c:v>
                </c:pt>
                <c:pt idx="15">
                  <c:v>16033.8792</c:v>
                </c:pt>
                <c:pt idx="16">
                  <c:v>16100.8218</c:v>
                </c:pt>
                <c:pt idx="17">
                  <c:v>16168.0439</c:v>
                </c:pt>
                <c:pt idx="18">
                  <c:v>16235.5466</c:v>
                </c:pt>
                <c:pt idx="19">
                  <c:v>16303.3312</c:v>
                </c:pt>
                <c:pt idx="20">
                  <c:v>16371.3988</c:v>
                </c:pt>
                <c:pt idx="21">
                  <c:v>16439.7506</c:v>
                </c:pt>
                <c:pt idx="22">
                  <c:v>16508.3877</c:v>
                </c:pt>
                <c:pt idx="23">
                  <c:v>16577.3115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Dashboard!$F$79</c:f>
              <c:strCache>
                <c:ptCount val="1"/>
                <c:pt idx="0">
                  <c:v>CIMB</c:v>
                </c:pt>
              </c:strCache>
            </c:strRef>
          </c:tx>
          <c:spPr>
            <a:ln w="28575">
              <a:solidFill>
                <a:srgbClr val="7030A0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Dashboard!$F$80:$F$103</c:f>
              <c:numCache>
                <c:formatCode>General</c:formatCode>
                <c:ptCount val="24"/>
                <c:pt idx="0">
                  <c:v>10000.0</c:v>
                </c:pt>
                <c:pt idx="1">
                  <c:v>10019.1844</c:v>
                </c:pt>
                <c:pt idx="2">
                  <c:v>10038.4057</c:v>
                </c:pt>
                <c:pt idx="3">
                  <c:v>10057.6638</c:v>
                </c:pt>
                <c:pt idx="4">
                  <c:v>10076.9589</c:v>
                </c:pt>
                <c:pt idx="5">
                  <c:v>10096.291</c:v>
                </c:pt>
                <c:pt idx="6">
                  <c:v>10115.6601</c:v>
                </c:pt>
                <c:pt idx="7">
                  <c:v>10135.0665</c:v>
                </c:pt>
                <c:pt idx="8">
                  <c:v>10154.51</c:v>
                </c:pt>
                <c:pt idx="9">
                  <c:v>10173.9909</c:v>
                </c:pt>
                <c:pt idx="10">
                  <c:v>10193.5091</c:v>
                </c:pt>
                <c:pt idx="11">
                  <c:v>10213.0648</c:v>
                </c:pt>
                <c:pt idx="12">
                  <c:v>10232.658</c:v>
                </c:pt>
                <c:pt idx="13">
                  <c:v>10252.2888</c:v>
                </c:pt>
                <c:pt idx="14">
                  <c:v>10271.9572</c:v>
                </c:pt>
                <c:pt idx="15">
                  <c:v>10291.6634</c:v>
                </c:pt>
                <c:pt idx="16">
                  <c:v>10311.4074</c:v>
                </c:pt>
                <c:pt idx="17">
                  <c:v>10331.1892</c:v>
                </c:pt>
                <c:pt idx="18">
                  <c:v>10351.009</c:v>
                </c:pt>
                <c:pt idx="19">
                  <c:v>10370.8669</c:v>
                </c:pt>
                <c:pt idx="20">
                  <c:v>10390.7628</c:v>
                </c:pt>
                <c:pt idx="21">
                  <c:v>10410.6969</c:v>
                </c:pt>
                <c:pt idx="22">
                  <c:v>10430.6692</c:v>
                </c:pt>
                <c:pt idx="23">
                  <c:v>10450.6799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Dashboard!$G$79</c:f>
              <c:strCache>
                <c:ptCount val="1"/>
                <c:pt idx="0">
                  <c:v>GoTyme</c:v>
                </c:pt>
              </c:strCache>
            </c:strRef>
          </c:tx>
          <c:spPr>
            <a:ln w="28575">
              <a:solidFill>
                <a:srgbClr val="843C0C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Dashboard!$G$80:$G$103</c:f>
              <c:numCache>
                <c:formatCode>General</c:formatCode>
                <c:ptCount val="24"/>
                <c:pt idx="0">
                  <c:v>12000.0</c:v>
                </c:pt>
                <c:pt idx="1">
                  <c:v>12030.0</c:v>
                </c:pt>
                <c:pt idx="2">
                  <c:v>12060.075</c:v>
                </c:pt>
                <c:pt idx="3">
                  <c:v>12090.2252</c:v>
                </c:pt>
                <c:pt idx="4">
                  <c:v>12120.4508</c:v>
                </c:pt>
                <c:pt idx="5">
                  <c:v>12150.7519</c:v>
                </c:pt>
                <c:pt idx="6">
                  <c:v>12181.1288</c:v>
                </c:pt>
                <c:pt idx="7">
                  <c:v>12211.5816</c:v>
                </c:pt>
                <c:pt idx="8">
                  <c:v>12242.1105</c:v>
                </c:pt>
                <c:pt idx="9">
                  <c:v>12272.7158</c:v>
                </c:pt>
                <c:pt idx="10">
                  <c:v>12303.3976</c:v>
                </c:pt>
                <c:pt idx="11">
                  <c:v>12334.1561</c:v>
                </c:pt>
                <c:pt idx="12">
                  <c:v>12364.9915</c:v>
                </c:pt>
                <c:pt idx="13">
                  <c:v>12395.904</c:v>
                </c:pt>
                <c:pt idx="14">
                  <c:v>12426.8937</c:v>
                </c:pt>
                <c:pt idx="15">
                  <c:v>12457.961</c:v>
                </c:pt>
                <c:pt idx="16">
                  <c:v>12489.1059</c:v>
                </c:pt>
                <c:pt idx="17">
                  <c:v>12520.3286</c:v>
                </c:pt>
                <c:pt idx="18">
                  <c:v>12551.6294</c:v>
                </c:pt>
                <c:pt idx="19">
                  <c:v>12583.0085</c:v>
                </c:pt>
                <c:pt idx="20">
                  <c:v>12614.466</c:v>
                </c:pt>
                <c:pt idx="21">
                  <c:v>12646.0022</c:v>
                </c:pt>
                <c:pt idx="22">
                  <c:v>12677.6172</c:v>
                </c:pt>
                <c:pt idx="23">
                  <c:v>12709.3113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Dashboard!$H$79</c:f>
              <c:strCache>
                <c:ptCount val="1"/>
                <c:pt idx="0">
                  <c:v>Maribank</c:v>
                </c:pt>
              </c:strCache>
            </c:strRef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Dashboard!$H$80:$H$103</c:f>
              <c:numCache>
                <c:formatCode>General</c:formatCode>
                <c:ptCount val="24"/>
                <c:pt idx="0">
                  <c:v>8000.0</c:v>
                </c:pt>
                <c:pt idx="1">
                  <c:v>8021.6951</c:v>
                </c:pt>
                <c:pt idx="2">
                  <c:v>8043.449</c:v>
                </c:pt>
                <c:pt idx="3">
                  <c:v>8065.2619</c:v>
                </c:pt>
                <c:pt idx="4">
                  <c:v>8087.1339</c:v>
                </c:pt>
                <c:pt idx="5">
                  <c:v>8109.0653</c:v>
                </c:pt>
                <c:pt idx="6">
                  <c:v>8131.0561</c:v>
                </c:pt>
                <c:pt idx="7">
                  <c:v>8153.1066</c:v>
                </c:pt>
                <c:pt idx="8">
                  <c:v>8175.2169</c:v>
                </c:pt>
                <c:pt idx="9">
                  <c:v>8197.3871</c:v>
                </c:pt>
                <c:pt idx="10">
                  <c:v>8219.6175</c:v>
                </c:pt>
                <c:pt idx="11">
                  <c:v>8241.9081</c:v>
                </c:pt>
                <c:pt idx="12">
                  <c:v>8264.2592</c:v>
                </c:pt>
                <c:pt idx="13">
                  <c:v>8286.6709</c:v>
                </c:pt>
                <c:pt idx="14">
                  <c:v>8309.1434</c:v>
                </c:pt>
                <c:pt idx="15">
                  <c:v>8331.6768</c:v>
                </c:pt>
                <c:pt idx="16">
                  <c:v>8354.2713</c:v>
                </c:pt>
                <c:pt idx="17">
                  <c:v>8376.9271</c:v>
                </c:pt>
                <c:pt idx="18">
                  <c:v>8399.6444</c:v>
                </c:pt>
                <c:pt idx="19">
                  <c:v>8422.4233</c:v>
                </c:pt>
                <c:pt idx="20">
                  <c:v>8445.2639</c:v>
                </c:pt>
                <c:pt idx="21">
                  <c:v>8468.1665</c:v>
                </c:pt>
                <c:pt idx="22">
                  <c:v>8491.1311</c:v>
                </c:pt>
                <c:pt idx="23">
                  <c:v>8514.1581</c:v>
                </c:pt>
              </c:numCache>
            </c:numRef>
          </c:val>
          <c:smooth val="0"/>
        </c:ser>
        <c:marker val="1"/>
        <c:axId val="111"/>
        <c:axId val="222"/>
      </c:lineChart>
      <c:catAx>
        <c:axId val="111"/>
        <c:scaling>
          <c:orientation val="minMax"/>
        </c:scaling>
        <c:delete val="0"/>
        <c:axPos val="b"/>
        <c:title>
          <c:tx>
            <c:rich>
              <a:bodyPr/>
              <a:p>
                <a:r>
                  <a:t>Month</a:t>
                </a:r>
              </a:p>
            </c:rich>
          </c:tx>
          <c:overlay val="0"/>
        </c:title>
        <c:crossAx val="222"/>
      </c:catAx>
      <c:valAx>
        <c:axId val="222"/>
        <c:scaling>
          <c:orientation val="minMax"/>
        </c:scaling>
        <c:delete val="0"/>
        <c:axPos val="l"/>
        <c:title>
          <c:tx>
            <c:rich>
              <a:bodyPr rot="-5400000" vert="horz"/>
              <a:p>
                <a:r>
                  <a:t>Cumulative Balance (PHP)</a:t>
                </a:r>
              </a:p>
            </c:rich>
          </c:tx>
          <c:overlay val="0"/>
        </c:title>
        <c:numFmt formatCode="#,##0" sourceLinked="0"/>
        <c:crossAx val="111"/>
      </c:valAx>
    </c:plotArea>
    <c:legend>
      <c:legendPos val="r"/>
      <c:overlay val="0"/>
    </c:legend>
    <c:plotVisOnly val="1"/>
    <c:dispBlanksAs val="gap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200" b="1">
                <a:solidFill>
                  <a:srgbClr val="1F3864"/>
                </a:solidFill>
              </a:defRPr>
            </a:pPr>
            <a:r>
              <a:rPr lang="en-US" sz="1200" b="1">
                <a:solidFill>
                  <a:srgbClr val="1F3864"/>
                </a:solidFill>
              </a:rPr>
              <a:t>🥧 Savings by Bank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Dashboard!$B$16</c:f>
              <c:strCache>
                <c:ptCount val="1"/>
                <c:pt idx="0">
                  <c:v>Balance</c:v>
                </c:pt>
              </c:strCache>
            </c:strRef>
          </c:tx>
          <c:cat>
            <c:strRef>
              <c:f>Dashboard!$A$17:$A$23</c:f>
              <c:strCache>
                <c:ptCount val="7"/>
                <c:pt idx="0">
                  <c:v>Maya</c:v>
                </c:pt>
                <c:pt idx="1">
                  <c:v>UNO</c:v>
                </c:pt>
                <c:pt idx="2">
                  <c:v>Tonik</c:v>
                </c:pt>
                <c:pt idx="3">
                  <c:v>Banko</c:v>
                </c:pt>
                <c:pt idx="4">
                  <c:v>CIMB</c:v>
                </c:pt>
                <c:pt idx="5">
                  <c:v>GoTyme</c:v>
                </c:pt>
                <c:pt idx="6">
                  <c:v>Maribank</c:v>
                </c:pt>
              </c:strCache>
            </c:strRef>
          </c:cat>
          <c:val>
            <c:numRef>
              <c:f>Dashboard!$B$17:$B$23</c:f>
              <c:numCache>
                <c:formatCode>General</c:formatCode>
                <c:ptCount val="7"/>
                <c:pt idx="0">
                  <c:v>273000.0</c:v>
                </c:pt>
                <c:pt idx="1">
                  <c:v>125000.0</c:v>
                </c:pt>
                <c:pt idx="2">
                  <c:v>50000.0</c:v>
                </c:pt>
                <c:pt idx="3">
                  <c:v>15062.5</c:v>
                </c:pt>
                <c:pt idx="4">
                  <c:v>10000.0</c:v>
                </c:pt>
                <c:pt idx="5">
                  <c:v>12000.0</c:v>
                </c:pt>
                <c:pt idx="6">
                  <c:v>8000.0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</c:dLbls>
        <c:firstSliceAng val="0"/>
      </c:pieChart>
    </c:plotArea>
    <c:legend>
      <c:legendPos val="r"/>
      <c:overlay val="0"/>
    </c:legend>
    <c:plotVisOnly val="1"/>
    <c:dispBlanksAs val="gap"/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200" b="1">
                <a:solidFill>
                  <a:srgbClr val="1F3864"/>
                </a:solidFill>
              </a:defRPr>
            </a:pPr>
            <a:r>
              <a:rPr lang="en-US" sz="1200" b="1">
                <a:solidFill>
                  <a:srgbClr val="1F3864"/>
                </a:solidFill>
              </a:rPr>
              <a:t>Monthly Interest Earned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Dashboard!$I$79</c:f>
              <c:strCache>
                <c:ptCount val="1"/>
                <c:pt idx="0">
                  <c:v>Interest Earned</c:v>
                </c:pt>
              </c:strCache>
            </c:strRef>
          </c:tx>
          <c:spPr>
            <a:solidFill>
              <a:srgbClr val="548235"/>
            </a:solidFill>
          </c:spP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Dashboard!$I$80:$I$103</c:f>
              <c:numCache>
                <c:formatCode>General</c:formatCode>
                <c:ptCount val="24"/>
                <c:pt idx="0">
                  <c:v>0.0</c:v>
                </c:pt>
                <c:pt idx="1">
                  <c:v>2491.7355</c:v>
                </c:pt>
                <c:pt idx="2">
                  <c:v>2505.3423</c:v>
                </c:pt>
                <c:pt idx="3">
                  <c:v>2519.029</c:v>
                </c:pt>
                <c:pt idx="4">
                  <c:v>2532.7962</c:v>
                </c:pt>
                <c:pt idx="5">
                  <c:v>2546.6443</c:v>
                </c:pt>
                <c:pt idx="6">
                  <c:v>2560.5738</c:v>
                </c:pt>
                <c:pt idx="7">
                  <c:v>2574.5853</c:v>
                </c:pt>
                <c:pt idx="8">
                  <c:v>2588.6792</c:v>
                </c:pt>
                <c:pt idx="9">
                  <c:v>2602.8562</c:v>
                </c:pt>
                <c:pt idx="10">
                  <c:v>2617.1167</c:v>
                </c:pt>
                <c:pt idx="11">
                  <c:v>2631.4612</c:v>
                </c:pt>
                <c:pt idx="12">
                  <c:v>2645.8903</c:v>
                </c:pt>
                <c:pt idx="13">
                  <c:v>2660.4045</c:v>
                </c:pt>
                <c:pt idx="14">
                  <c:v>2675.0044</c:v>
                </c:pt>
                <c:pt idx="15">
                  <c:v>2689.6904</c:v>
                </c:pt>
                <c:pt idx="16">
                  <c:v>2704.4633</c:v>
                </c:pt>
                <c:pt idx="17">
                  <c:v>2719.3234</c:v>
                </c:pt>
                <c:pt idx="18">
                  <c:v>2734.2713</c:v>
                </c:pt>
                <c:pt idx="19">
                  <c:v>2749.3077</c:v>
                </c:pt>
                <c:pt idx="20">
                  <c:v>2764.433</c:v>
                </c:pt>
                <c:pt idx="21">
                  <c:v>2779.6479</c:v>
                </c:pt>
                <c:pt idx="22">
                  <c:v>2794.9528</c:v>
                </c:pt>
                <c:pt idx="23">
                  <c:v>2810.3485</c:v>
                </c:pt>
              </c:numCache>
            </c:numRef>
          </c:val>
        </c:ser>
        <c:axId val="333"/>
        <c:axId val="444"/>
      </c:barChart>
      <c:catAx>
        <c:axId val="333"/>
        <c:scaling>
          <c:orientation val="minMax"/>
        </c:scaling>
        <c:delete val="0"/>
        <c:axPos val="b"/>
        <c:title>
          <c:tx>
            <c:rich>
              <a:bodyPr/>
              <a:p>
                <a:r>
                  <a:t>Month</a:t>
                </a:r>
              </a:p>
            </c:rich>
          </c:tx>
          <c:overlay val="0"/>
        </c:title>
        <c:crossAx val="444"/>
      </c:catAx>
      <c:valAx>
        <c:axId val="444"/>
        <c:scaling>
          <c:orientation val="minMax"/>
        </c:scaling>
        <c:delete val="0"/>
        <c:axPos val="l"/>
        <c:title>
          <c:tx>
            <c:rich>
              <a:bodyPr rot="-5400000" vert="horz"/>
              <a:p>
                <a:r>
                  <a:t>Interest (PHP)</a:t>
                </a:r>
              </a:p>
            </c:rich>
          </c:tx>
          <c:overlay val="0"/>
        </c:title>
        <c:numFmt formatCode="#,##0" sourceLinked="0"/>
        <c:crossAx val="333"/>
      </c:valAx>
    </c:plotArea>
    <c:legend>
      <c:legendPos val="b"/>
      <c:overlay val="0"/>
    </c:legend>
    <c:plotVisOnly val="1"/>
    <c:dispBlanksAs val="gap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27</xdr:row>
      <xdr:rowOff>0</xdr:rowOff>
    </xdr:from>
    <xdr:to>
      <xdr:col>12</xdr:col>
      <xdr:colOff>0</xdr:colOff>
      <xdr:row>50</xdr:row>
      <xdr:rowOff>0</xdr:rowOff>
    </xdr:to>
    <xdr:graphicFrame macro="">
      <xdr:nvGraphicFramePr>
        <xdr:cNvPr id="2" name="Savings Growth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0</xdr:colOff>
      <xdr:row>14</xdr:row>
      <xdr:rowOff>0</xdr:rowOff>
    </xdr:from>
    <xdr:to>
      <xdr:col>11</xdr:col>
      <xdr:colOff>0</xdr:colOff>
      <xdr:row>26</xdr:row>
      <xdr:rowOff>0</xdr:rowOff>
    </xdr:to>
    <xdr:graphicFrame macro="">
      <xdr:nvGraphicFramePr>
        <xdr:cNvPr id="3" name="Savings by Bank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51</xdr:row>
      <xdr:rowOff>0</xdr:rowOff>
    </xdr:from>
    <xdr:to>
      <xdr:col>12</xdr:col>
      <xdr:colOff>0</xdr:colOff>
      <xdr:row>74</xdr:row>
      <xdr:rowOff>0</xdr:rowOff>
    </xdr:to>
    <xdr:graphicFrame macro="">
      <xdr:nvGraphicFramePr>
        <xdr:cNvPr id="4" name="Monthly Interes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Deposits" displayName="tblDeposits" ref="A5:E205" totalsRowShown="0">
  <autoFilter ref="A5:E205"/>
  <tableColumns count="5">
    <tableColumn id="1" name="Date"/>
    <tableColumn id="2" name="Bank"/>
    <tableColumn id="3" name="Account"/>
    <tableColumn id="4" name="Amount"/>
    <tableColumn id="5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Transactions" displayName="tblTransactions" ref="A5:F205" totalsRowShown="0">
  <autoFilter ref="A5:F205"/>
  <tableColumns count="6">
    <tableColumn id="1" name="Date"/>
    <tableColumn id="2" name="Type"/>
    <tableColumn id="3" name="Bank"/>
    <tableColumn id="4" name="Account"/>
    <tableColumn id="5" name="Amount"/>
    <tableColumn id="6" name="Notes"/>
  </tableColumns>
  <tableStyleInfo name="TableStyleMedium2" showFirstColumn="0" showLastColumn="0" showRowStripes="1" showColumnStripes="0"/>
</tabl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showGridLines="0" tabSelected="1" workbookViewId="0">
      <pane ySplit="3" topLeftCell="A4" activePane="bottomLeft" state="frozen"/>
      <selection pane="bottomLeft" activeCell="A4" sqref="A4"/>
    </sheetView>
  </sheetViews>
  <sheetFormatPr defaultRowHeight="15"/>
  <cols>
    <col min="1" max="1" width="22" customWidth="1"/>
    <col min="2" max="2" width="14" customWidth="1"/>
    <col min="3" max="3" width="12" customWidth="1"/>
    <col min="4" max="4" width="12" customWidth="1"/>
    <col min="5" max="5" width="14" customWidth="1"/>
    <col min="6" max="6" width="12" customWidth="1"/>
    <col min="7" max="7" width="12" customWidth="1"/>
    <col min="8" max="8" width="12" customWidth="1"/>
    <col min="9" max="9" width="14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3">
        <is>
          <t xml:space="preserve">🏠 Dashboard</t>
        </is>
      </c>
      <c r="B2" s="3"/>
      <c r="C2" t="inlineStr" s="2">
        <is>
          <t xml:space="preserve">➕ Deposit</t>
        </is>
      </c>
      <c r="D2" s="2"/>
      <c r="E2" t="inlineStr" s="2">
        <is>
          <t xml:space="preserve">🔄 Transactions</t>
        </is>
      </c>
      <c r="F2" s="2"/>
      <c r="G2" t="inlineStr" s="2">
        <is>
          <t xml:space="preserve">💼 Balance</t>
        </is>
      </c>
      <c r="H2" s="2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A live overview of everything in this workbook. Add deposits on the Deposit tab and this page updates automatically.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24">
        <is>
          <t xml:space="preserve">🔑 Key Metrics</t>
        </is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</row>
    <row r="5" ht="18" customHeight="1">
      <c r="A5" t="inlineStr" s="25">
        <is>
          <t xml:space="preserve">Total Balance (All Accounts)</t>
        </is>
      </c>
      <c r="B5" s="25"/>
      <c r="C5" s="25"/>
      <c r="D5" s="25"/>
      <c r="E5" s="26">
        <f>SUM(Balance!$F$6:$F$19)</f>
        <v>493062.5</v>
      </c>
      <c r="F5" s="26"/>
      <c r="G5" s="26"/>
      <c r="H5" s="26"/>
    </row>
    <row r="6" ht="18" customHeight="1">
      <c r="A6" t="inlineStr" s="25">
        <is>
          <t xml:space="preserve">Total Deposited (All-Time)</t>
        </is>
      </c>
      <c r="B6" s="25"/>
      <c r="C6" s="25"/>
      <c r="D6" s="25"/>
      <c r="E6" s="26">
        <f>SUM(Balance!$D$6:$D$19)</f>
        <v>490000.0</v>
      </c>
      <c r="F6" s="26"/>
      <c r="G6" s="26"/>
      <c r="H6" s="26"/>
    </row>
    <row r="7" ht="18" customHeight="1">
      <c r="A7" t="inlineStr" s="25">
        <is>
          <t xml:space="preserve">Total Interest Credited</t>
        </is>
      </c>
      <c r="B7" s="25"/>
      <c r="C7" s="25"/>
      <c r="D7" s="25"/>
      <c r="E7" s="26">
        <f>SUMIFS(Transactions!$E$6:$E$205,Transactions!$B$6:$B$205,"Interest")</f>
        <v>62.5</v>
      </c>
      <c r="F7" s="26"/>
      <c r="G7" s="26"/>
      <c r="H7" s="26"/>
    </row>
    <row r="8" ht="18" customHeight="1">
      <c r="A8" t="inlineStr" s="25">
        <is>
          <t xml:space="preserve">Total Withdrawn</t>
        </is>
      </c>
      <c r="B8" s="25"/>
      <c r="C8" s="25"/>
      <c r="D8" s="25"/>
      <c r="E8" s="26">
        <f>-SUMIFS(Transactions!$E$6:$E$205,Transactions!$B$6:$B$205,"Withdrawal")</f>
        <v>2000</v>
      </c>
      <c r="F8" s="26"/>
      <c r="G8" s="26"/>
      <c r="H8" s="26"/>
    </row>
    <row r="9" ht="6" customHeight="1"/>
    <row r="10" ht="22" customHeight="1">
      <c r="A10" t="inlineStr" s="24">
        <is>
          <t xml:space="preserve">🎯 Personal Goal Tracker</t>
        </is>
      </c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</row>
    <row r="11" ht="18" customHeight="1">
      <c r="A11" t="inlineStr" s="25">
        <is>
          <t xml:space="preserve">Your Savings Goal Target</t>
        </is>
      </c>
      <c r="B11" s="25"/>
      <c r="C11" s="25"/>
      <c r="D11" s="25"/>
      <c r="E11" s="28">
        <v>100000</v>
      </c>
      <c r="F11" s="28"/>
      <c r="G11" s="28"/>
      <c r="H11" s="28"/>
    </row>
    <row r="12" ht="18" customHeight="1">
      <c r="A12" t="inlineStr" s="25">
        <is>
          <t xml:space="preserve">Maya Personal Goal — Current Balance</t>
        </is>
      </c>
      <c r="B12" s="25"/>
      <c r="C12" s="25"/>
      <c r="D12" s="25"/>
      <c r="E12" s="26">
        <f>IFERROR(VLOOKUP("Maya - Personal Goal",Balance!$C$6:$F$19,4,FALSE),0)</f>
        <v>25000.0</v>
      </c>
      <c r="F12" s="26"/>
      <c r="G12" s="26"/>
      <c r="H12" s="26"/>
    </row>
    <row r="13" ht="18" customHeight="1">
      <c r="A13" t="inlineStr" s="25">
        <is>
          <t xml:space="preserve">Progress Toward Goal</t>
        </is>
      </c>
      <c r="B13" s="25"/>
      <c r="C13" s="25"/>
      <c r="D13" s="25"/>
      <c r="E13" s="27">
        <f>IFERROR(E12/E11,0)</f>
        <v>0.25</v>
      </c>
      <c r="F13" s="27"/>
      <c r="G13" s="27"/>
      <c r="H13" s="27"/>
    </row>
    <row r="14" ht="6" customHeight="1"/>
    <row r="15" ht="22" customHeight="1">
      <c r="A15" t="inlineStr" s="24">
        <is>
          <t xml:space="preserve">🏦 Balance by Bank</t>
        </is>
      </c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</row>
    <row r="16" ht="18" customHeight="1">
      <c r="A16" t="inlineStr" s="6">
        <is>
          <t xml:space="preserve">Bank</t>
        </is>
      </c>
      <c r="B16" t="inlineStr" s="6">
        <is>
          <t xml:space="preserve">Balance</t>
        </is>
      </c>
    </row>
    <row r="17">
      <c r="A17" t="inlineStr" s="7">
        <is>
          <t xml:space="preserve">Maya</t>
        </is>
      </c>
      <c r="B17" s="29">
        <f>SUMIF(Balance!$B$6:$B$19,A17,Balance!$F$6:$F$19)</f>
        <v>273000.0</v>
      </c>
    </row>
    <row r="18">
      <c r="A18" t="inlineStr" s="7">
        <is>
          <t xml:space="preserve">UNO</t>
        </is>
      </c>
      <c r="B18" s="29">
        <f>SUMIF(Balance!$B$6:$B$19,A18,Balance!$F$6:$F$19)</f>
        <v>125000.0</v>
      </c>
    </row>
    <row r="19">
      <c r="A19" t="inlineStr" s="7">
        <is>
          <t xml:space="preserve">Tonik</t>
        </is>
      </c>
      <c r="B19" s="29">
        <f>SUMIF(Balance!$B$6:$B$19,A19,Balance!$F$6:$F$19)</f>
        <v>50000.0</v>
      </c>
    </row>
    <row r="20">
      <c r="A20" t="inlineStr" s="7">
        <is>
          <t xml:space="preserve">Banko</t>
        </is>
      </c>
      <c r="B20" s="29">
        <f>SUMIF(Balance!$B$6:$B$19,A20,Balance!$F$6:$F$19)</f>
        <v>15062.5</v>
      </c>
    </row>
    <row r="21">
      <c r="A21" t="inlineStr" s="7">
        <is>
          <t xml:space="preserve">CIMB</t>
        </is>
      </c>
      <c r="B21" s="29">
        <f>SUMIF(Balance!$B$6:$B$19,A21,Balance!$F$6:$F$19)</f>
        <v>10000.0</v>
      </c>
    </row>
    <row r="22">
      <c r="A22" t="inlineStr" s="7">
        <is>
          <t xml:space="preserve">GoTyme</t>
        </is>
      </c>
      <c r="B22" s="29">
        <f>SUMIF(Balance!$B$6:$B$19,A22,Balance!$F$6:$F$19)</f>
        <v>12000.0</v>
      </c>
    </row>
    <row r="23">
      <c r="A23" t="inlineStr" s="7">
        <is>
          <t xml:space="preserve">Maribank</t>
        </is>
      </c>
      <c r="B23" s="29">
        <f>SUMIF(Balance!$B$6:$B$19,A23,Balance!$F$6:$F$19)</f>
        <v>8000.0</v>
      </c>
    </row>
    <row r="24">
      <c r="A24" t="inlineStr" s="15">
        <is>
          <t xml:space="preserve">Total</t>
        </is>
      </c>
      <c r="B24" s="16">
        <f>SUM(B17:B23)</f>
        <v>493062.5</v>
      </c>
    </row>
    <row r="27" ht="22" customHeight="1">
      <c r="A27" t="inlineStr" s="24">
        <is>
          <t xml:space="preserve">📈 Savings Growth by Bank (Cumulative Balance)</t>
        </is>
      </c>
      <c r="B27" s="24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</row>
    <row r="51" ht="22" customHeight="1">
      <c r="A51" t="inlineStr" s="24">
        <is>
          <t xml:space="preserve">📊 Monthly Interest Earned</t>
        </is>
      </c>
      <c r="B51" s="24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</row>
    <row r="77" ht="22" customHeight="1">
      <c r="A77" t="inlineStr" s="4">
        <is>
          <t xml:space="preserve">🗂 Chart Data (auto-calculated — do not edit)</t>
        </is>
      </c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</row>
    <row r="79">
      <c r="A79" t="inlineStr" s="22">
        <is>
          <t xml:space="preserve">Month</t>
        </is>
      </c>
      <c r="B79" t="inlineStr" s="22">
        <is>
          <t xml:space="preserve">Maya</t>
        </is>
      </c>
      <c r="C79" t="inlineStr" s="22">
        <is>
          <t xml:space="preserve">UNO</t>
        </is>
      </c>
      <c r="D79" t="inlineStr" s="22">
        <is>
          <t xml:space="preserve">Tonik</t>
        </is>
      </c>
      <c r="E79" t="inlineStr" s="22">
        <is>
          <t xml:space="preserve">Banko</t>
        </is>
      </c>
      <c r="F79" t="inlineStr" s="22">
        <is>
          <t xml:space="preserve">CIMB</t>
        </is>
      </c>
      <c r="G79" t="inlineStr" s="22">
        <is>
          <t xml:space="preserve">GoTyme</t>
        </is>
      </c>
      <c r="H79" t="inlineStr" s="22">
        <is>
          <t xml:space="preserve">Maribank</t>
        </is>
      </c>
      <c r="I79" t="inlineStr" s="22">
        <is>
          <t xml:space="preserve">Total Interest</t>
        </is>
      </c>
    </row>
    <row r="80">
      <c r="A80" t="inlineStr" s="7">
        <is>
          <t xml:space="preserve">Jan 2026</t>
        </is>
      </c>
      <c r="B80" s="8">
        <f>SUMPRODUCT((Interest!$A$6:$A$19=B$79)*Interest!$G$6:$G$19*Interest!$M$6:$M$19^0)</f>
        <v>273000.0</v>
      </c>
      <c r="C80" s="8">
        <f>SUMPRODUCT((Interest!$A$6:$A$19=C$79)*Interest!$G$6:$G$19*Interest!$M$6:$M$19^0)</f>
        <v>125000.0</v>
      </c>
      <c r="D80" s="8">
        <f>SUMPRODUCT((Interest!$A$6:$A$19=D$79)*Interest!$G$6:$G$19*Interest!$M$6:$M$19^0)</f>
        <v>50000.0</v>
      </c>
      <c r="E80" s="8">
        <f>SUMPRODUCT((Interest!$A$6:$A$19=E$79)*Interest!$G$6:$G$19*Interest!$M$6:$M$19^0)</f>
        <v>15062.5</v>
      </c>
      <c r="F80" s="8">
        <f>SUMPRODUCT((Interest!$A$6:$A$19=F$79)*Interest!$G$6:$G$19*Interest!$M$6:$M$19^0)</f>
        <v>10000.0</v>
      </c>
      <c r="G80" s="8">
        <f>SUMPRODUCT((Interest!$A$6:$A$19=G$79)*Interest!$G$6:$G$19*Interest!$M$6:$M$19^0)</f>
        <v>12000.0</v>
      </c>
      <c r="H80" s="8">
        <f>SUMPRODUCT((Interest!$A$6:$A$19=H$79)*Interest!$G$6:$G$19*Interest!$M$6:$M$19^0)</f>
        <v>8000.0</v>
      </c>
      <c r="I80" s="8">
        <v>0</v>
      </c>
    </row>
    <row r="81">
      <c r="A81" t="inlineStr" s="7">
        <is>
          <t xml:space="preserve">Feb 2026</t>
        </is>
      </c>
      <c r="B81" s="8">
        <f>SUMPRODUCT((Interest!$A$6:$A$19=B$79)*Interest!$G$6:$G$19*Interest!$M$6:$M$19^1)</f>
        <v>274518.28</v>
      </c>
      <c r="C81" s="8">
        <f>SUMPRODUCT((Interest!$A$6:$A$19=C$79)*Interest!$G$6:$G$19*Interest!$M$6:$M$19^1)</f>
        <v>125573.02</v>
      </c>
      <c r="D81" s="8">
        <f>SUMPRODUCT((Interest!$A$6:$A$19=D$79)*Interest!$G$6:$G$19*Interest!$M$6:$M$19^1)</f>
        <v>50266.67</v>
      </c>
      <c r="E81" s="8">
        <f>SUMPRODUCT((Interest!$A$6:$A$19=E$79)*Interest!$G$6:$G$19*Interest!$M$6:$M$19^1)</f>
        <v>15125.39</v>
      </c>
      <c r="F81" s="8">
        <f>SUMPRODUCT((Interest!$A$6:$A$19=F$79)*Interest!$G$6:$G$19*Interest!$M$6:$M$19^1)</f>
        <v>10019.18</v>
      </c>
      <c r="G81" s="8">
        <f>SUMPRODUCT((Interest!$A$6:$A$19=G$79)*Interest!$G$6:$G$19*Interest!$M$6:$M$19^1)</f>
        <v>12030.0</v>
      </c>
      <c r="H81" s="8">
        <f>SUMPRODUCT((Interest!$A$6:$A$19=H$79)*Interest!$G$6:$G$19*Interest!$M$6:$M$19^1)</f>
        <v>8021.7</v>
      </c>
      <c r="I81" s="8">
        <f>SUM(B81:H81)-SUM(B80:H80)</f>
        <v>2491.74</v>
      </c>
    </row>
    <row r="82">
      <c r="A82" t="inlineStr" s="7">
        <is>
          <t xml:space="preserve">Mar 2026</t>
        </is>
      </c>
      <c r="B82" s="8">
        <f>SUMPRODUCT((Interest!$A$6:$A$19=B$79)*Interest!$G$6:$G$19*Interest!$M$6:$M$19^2)</f>
        <v>276045.47</v>
      </c>
      <c r="C82" s="8">
        <f>SUMPRODUCT((Interest!$A$6:$A$19=C$79)*Interest!$G$6:$G$19*Interest!$M$6:$M$19^2)</f>
        <v>126148.75</v>
      </c>
      <c r="D82" s="8">
        <f>SUMPRODUCT((Interest!$A$6:$A$19=D$79)*Interest!$G$6:$G$19*Interest!$M$6:$M$19^2)</f>
        <v>50534.89</v>
      </c>
      <c r="E82" s="8">
        <f>SUMPRODUCT((Interest!$A$6:$A$19=E$79)*Interest!$G$6:$G$19*Interest!$M$6:$M$19^2)</f>
        <v>15188.54</v>
      </c>
      <c r="F82" s="8">
        <f>SUMPRODUCT((Interest!$A$6:$A$19=F$79)*Interest!$G$6:$G$19*Interest!$M$6:$M$19^2)</f>
        <v>10038.41</v>
      </c>
      <c r="G82" s="8">
        <f>SUMPRODUCT((Interest!$A$6:$A$19=G$79)*Interest!$G$6:$G$19*Interest!$M$6:$M$19^2)</f>
        <v>12060.07</v>
      </c>
      <c r="H82" s="8">
        <f>SUMPRODUCT((Interest!$A$6:$A$19=H$79)*Interest!$G$6:$G$19*Interest!$M$6:$M$19^2)</f>
        <v>8043.45</v>
      </c>
      <c r="I82" s="8">
        <f>SUM(B82:H82)-SUM(B81:H81)</f>
        <v>2505.34</v>
      </c>
    </row>
    <row r="83">
      <c r="A83" t="inlineStr" s="7">
        <is>
          <t xml:space="preserve">Apr 2026</t>
        </is>
      </c>
      <c r="B83" s="8">
        <f>SUMPRODUCT((Interest!$A$6:$A$19=B$79)*Interest!$G$6:$G$19*Interest!$M$6:$M$19^3)</f>
        <v>277581.62</v>
      </c>
      <c r="C83" s="8">
        <f>SUMPRODUCT((Interest!$A$6:$A$19=C$79)*Interest!$G$6:$G$19*Interest!$M$6:$M$19^3)</f>
        <v>126727.21</v>
      </c>
      <c r="D83" s="8">
        <f>SUMPRODUCT((Interest!$A$6:$A$19=D$79)*Interest!$G$6:$G$19*Interest!$M$6:$M$19^3)</f>
        <v>50804.68</v>
      </c>
      <c r="E83" s="8">
        <f>SUMPRODUCT((Interest!$A$6:$A$19=E$79)*Interest!$G$6:$G$19*Interest!$M$6:$M$19^3)</f>
        <v>15251.95</v>
      </c>
      <c r="F83" s="8">
        <f>SUMPRODUCT((Interest!$A$6:$A$19=F$79)*Interest!$G$6:$G$19*Interest!$M$6:$M$19^3)</f>
        <v>10057.66</v>
      </c>
      <c r="G83" s="8">
        <f>SUMPRODUCT((Interest!$A$6:$A$19=G$79)*Interest!$G$6:$G$19*Interest!$M$6:$M$19^3)</f>
        <v>12090.23</v>
      </c>
      <c r="H83" s="8">
        <f>SUMPRODUCT((Interest!$A$6:$A$19=H$79)*Interest!$G$6:$G$19*Interest!$M$6:$M$19^3)</f>
        <v>8065.26</v>
      </c>
      <c r="I83" s="8">
        <f>SUM(B83:H83)-SUM(B82:H82)</f>
        <v>2519.03</v>
      </c>
    </row>
    <row r="84">
      <c r="A84" t="inlineStr" s="7">
        <is>
          <t xml:space="preserve">May 2026</t>
        </is>
      </c>
      <c r="B84" s="8">
        <f>SUMPRODUCT((Interest!$A$6:$A$19=B$79)*Interest!$G$6:$G$19*Interest!$M$6:$M$19^4)</f>
        <v>279126.78</v>
      </c>
      <c r="C84" s="8">
        <f>SUMPRODUCT((Interest!$A$6:$A$19=C$79)*Interest!$G$6:$G$19*Interest!$M$6:$M$19^4)</f>
        <v>127308.41</v>
      </c>
      <c r="D84" s="8">
        <f>SUMPRODUCT((Interest!$A$6:$A$19=D$79)*Interest!$G$6:$G$19*Interest!$M$6:$M$19^4)</f>
        <v>51076.04</v>
      </c>
      <c r="E84" s="8">
        <f>SUMPRODUCT((Interest!$A$6:$A$19=E$79)*Interest!$G$6:$G$19*Interest!$M$6:$M$19^4)</f>
        <v>15315.63</v>
      </c>
      <c r="F84" s="8">
        <f>SUMPRODUCT((Interest!$A$6:$A$19=F$79)*Interest!$G$6:$G$19*Interest!$M$6:$M$19^4)</f>
        <v>10076.96</v>
      </c>
      <c r="G84" s="8">
        <f>SUMPRODUCT((Interest!$A$6:$A$19=G$79)*Interest!$G$6:$G$19*Interest!$M$6:$M$19^4)</f>
        <v>12120.45</v>
      </c>
      <c r="H84" s="8">
        <f>SUMPRODUCT((Interest!$A$6:$A$19=H$79)*Interest!$G$6:$G$19*Interest!$M$6:$M$19^4)</f>
        <v>8087.13</v>
      </c>
      <c r="I84" s="8">
        <f>SUM(B84:H84)-SUM(B83:H83)</f>
        <v>2532.8</v>
      </c>
    </row>
    <row r="85">
      <c r="A85" t="inlineStr" s="7">
        <is>
          <t xml:space="preserve">Jun 2026</t>
        </is>
      </c>
      <c r="B85" s="8">
        <f>SUMPRODUCT((Interest!$A$6:$A$19=B$79)*Interest!$G$6:$G$19*Interest!$M$6:$M$19^5)</f>
        <v>280681.02</v>
      </c>
      <c r="C85" s="8">
        <f>SUMPRODUCT((Interest!$A$6:$A$19=C$79)*Interest!$G$6:$G$19*Interest!$M$6:$M$19^5)</f>
        <v>127892.36</v>
      </c>
      <c r="D85" s="8">
        <f>SUMPRODUCT((Interest!$A$6:$A$19=D$79)*Interest!$G$6:$G$19*Interest!$M$6:$M$19^5)</f>
        <v>51348.99</v>
      </c>
      <c r="E85" s="8">
        <f>SUMPRODUCT((Interest!$A$6:$A$19=E$79)*Interest!$G$6:$G$19*Interest!$M$6:$M$19^5)</f>
        <v>15379.57</v>
      </c>
      <c r="F85" s="8">
        <f>SUMPRODUCT((Interest!$A$6:$A$19=F$79)*Interest!$G$6:$G$19*Interest!$M$6:$M$19^5)</f>
        <v>10096.29</v>
      </c>
      <c r="G85" s="8">
        <f>SUMPRODUCT((Interest!$A$6:$A$19=G$79)*Interest!$G$6:$G$19*Interest!$M$6:$M$19^5)</f>
        <v>12150.75</v>
      </c>
      <c r="H85" s="8">
        <f>SUMPRODUCT((Interest!$A$6:$A$19=H$79)*Interest!$G$6:$G$19*Interest!$M$6:$M$19^5)</f>
        <v>8109.07</v>
      </c>
      <c r="I85" s="8">
        <f>SUM(B85:H85)-SUM(B84:H84)</f>
        <v>2546.64</v>
      </c>
    </row>
    <row r="86">
      <c r="A86" t="inlineStr" s="7">
        <is>
          <t xml:space="preserve">Jul 2026</t>
        </is>
      </c>
      <c r="B86" s="8">
        <f>SUMPRODUCT((Interest!$A$6:$A$19=B$79)*Interest!$G$6:$G$19*Interest!$M$6:$M$19^6)</f>
        <v>282244.39</v>
      </c>
      <c r="C86" s="8">
        <f>SUMPRODUCT((Interest!$A$6:$A$19=C$79)*Interest!$G$6:$G$19*Interest!$M$6:$M$19^6)</f>
        <v>128479.08</v>
      </c>
      <c r="D86" s="8">
        <f>SUMPRODUCT((Interest!$A$6:$A$19=D$79)*Interest!$G$6:$G$19*Interest!$M$6:$M$19^6)</f>
        <v>51623.53</v>
      </c>
      <c r="E86" s="8">
        <f>SUMPRODUCT((Interest!$A$6:$A$19=E$79)*Interest!$G$6:$G$19*Interest!$M$6:$M$19^6)</f>
        <v>15443.78</v>
      </c>
      <c r="F86" s="8">
        <f>SUMPRODUCT((Interest!$A$6:$A$19=F$79)*Interest!$G$6:$G$19*Interest!$M$6:$M$19^6)</f>
        <v>10115.66</v>
      </c>
      <c r="G86" s="8">
        <f>SUMPRODUCT((Interest!$A$6:$A$19=G$79)*Interest!$G$6:$G$19*Interest!$M$6:$M$19^6)</f>
        <v>12181.13</v>
      </c>
      <c r="H86" s="8">
        <f>SUMPRODUCT((Interest!$A$6:$A$19=H$79)*Interest!$G$6:$G$19*Interest!$M$6:$M$19^6)</f>
        <v>8131.06</v>
      </c>
      <c r="I86" s="8">
        <f>SUM(B86:H86)-SUM(B85:H85)</f>
        <v>2560.57</v>
      </c>
    </row>
    <row r="87">
      <c r="A87" t="inlineStr" s="7">
        <is>
          <t xml:space="preserve">Aug 2026</t>
        </is>
      </c>
      <c r="B87" s="8">
        <f>SUMPRODUCT((Interest!$A$6:$A$19=B$79)*Interest!$G$6:$G$19*Interest!$M$6:$M$19^7)</f>
        <v>283816.94</v>
      </c>
      <c r="C87" s="8">
        <f>SUMPRODUCT((Interest!$A$6:$A$19=C$79)*Interest!$G$6:$G$19*Interest!$M$6:$M$19^7)</f>
        <v>129068.58</v>
      </c>
      <c r="D87" s="8">
        <f>SUMPRODUCT((Interest!$A$6:$A$19=D$79)*Interest!$G$6:$G$19*Interest!$M$6:$M$19^7)</f>
        <v>51899.67</v>
      </c>
      <c r="E87" s="8">
        <f>SUMPRODUCT((Interest!$A$6:$A$19=E$79)*Interest!$G$6:$G$19*Interest!$M$6:$M$19^7)</f>
        <v>15508.26</v>
      </c>
      <c r="F87" s="8">
        <f>SUMPRODUCT((Interest!$A$6:$A$19=F$79)*Interest!$G$6:$G$19*Interest!$M$6:$M$19^7)</f>
        <v>10135.07</v>
      </c>
      <c r="G87" s="8">
        <f>SUMPRODUCT((Interest!$A$6:$A$19=G$79)*Interest!$G$6:$G$19*Interest!$M$6:$M$19^7)</f>
        <v>12211.58</v>
      </c>
      <c r="H87" s="8">
        <f>SUMPRODUCT((Interest!$A$6:$A$19=H$79)*Interest!$G$6:$G$19*Interest!$M$6:$M$19^7)</f>
        <v>8153.11</v>
      </c>
      <c r="I87" s="8">
        <f>SUM(B87:H87)-SUM(B86:H86)</f>
        <v>2574.59</v>
      </c>
    </row>
    <row r="88">
      <c r="A88" t="inlineStr" s="7">
        <is>
          <t xml:space="preserve">Sep 2026</t>
        </is>
      </c>
      <c r="B88" s="8">
        <f>SUMPRODUCT((Interest!$A$6:$A$19=B$79)*Interest!$G$6:$G$19*Interest!$M$6:$M$19^8)</f>
        <v>285398.74</v>
      </c>
      <c r="C88" s="8">
        <f>SUMPRODUCT((Interest!$A$6:$A$19=C$79)*Interest!$G$6:$G$19*Interest!$M$6:$M$19^8)</f>
        <v>129660.87</v>
      </c>
      <c r="D88" s="8">
        <f>SUMPRODUCT((Interest!$A$6:$A$19=D$79)*Interest!$G$6:$G$19*Interest!$M$6:$M$19^8)</f>
        <v>52177.43</v>
      </c>
      <c r="E88" s="8">
        <f>SUMPRODUCT((Interest!$A$6:$A$19=E$79)*Interest!$G$6:$G$19*Interest!$M$6:$M$19^8)</f>
        <v>15573.01</v>
      </c>
      <c r="F88" s="8">
        <f>SUMPRODUCT((Interest!$A$6:$A$19=F$79)*Interest!$G$6:$G$19*Interest!$M$6:$M$19^8)</f>
        <v>10154.51</v>
      </c>
      <c r="G88" s="8">
        <f>SUMPRODUCT((Interest!$A$6:$A$19=G$79)*Interest!$G$6:$G$19*Interest!$M$6:$M$19^8)</f>
        <v>12242.11</v>
      </c>
      <c r="H88" s="8">
        <f>SUMPRODUCT((Interest!$A$6:$A$19=H$79)*Interest!$G$6:$G$19*Interest!$M$6:$M$19^8)</f>
        <v>8175.22</v>
      </c>
      <c r="I88" s="8">
        <f>SUM(B88:H88)-SUM(B87:H87)</f>
        <v>2588.68</v>
      </c>
    </row>
    <row r="89">
      <c r="A89" t="inlineStr" s="7">
        <is>
          <t xml:space="preserve">Oct 2026</t>
        </is>
      </c>
      <c r="B89" s="8">
        <f>SUMPRODUCT((Interest!$A$6:$A$19=B$79)*Interest!$G$6:$G$19*Interest!$M$6:$M$19^9)</f>
        <v>286989.84</v>
      </c>
      <c r="C89" s="8">
        <f>SUMPRODUCT((Interest!$A$6:$A$19=C$79)*Interest!$G$6:$G$19*Interest!$M$6:$M$19^9)</f>
        <v>130255.96</v>
      </c>
      <c r="D89" s="8">
        <f>SUMPRODUCT((Interest!$A$6:$A$19=D$79)*Interest!$G$6:$G$19*Interest!$M$6:$M$19^9)</f>
        <v>52456.82</v>
      </c>
      <c r="E89" s="8">
        <f>SUMPRODUCT((Interest!$A$6:$A$19=E$79)*Interest!$G$6:$G$19*Interest!$M$6:$M$19^9)</f>
        <v>15638.03</v>
      </c>
      <c r="F89" s="8">
        <f>SUMPRODUCT((Interest!$A$6:$A$19=F$79)*Interest!$G$6:$G$19*Interest!$M$6:$M$19^9)</f>
        <v>10173.99</v>
      </c>
      <c r="G89" s="8">
        <f>SUMPRODUCT((Interest!$A$6:$A$19=G$79)*Interest!$G$6:$G$19*Interest!$M$6:$M$19^9)</f>
        <v>12272.72</v>
      </c>
      <c r="H89" s="8">
        <f>SUMPRODUCT((Interest!$A$6:$A$19=H$79)*Interest!$G$6:$G$19*Interest!$M$6:$M$19^9)</f>
        <v>8197.39</v>
      </c>
      <c r="I89" s="8">
        <f>SUM(B89:H89)-SUM(B88:H88)</f>
        <v>2602.86</v>
      </c>
    </row>
    <row r="90">
      <c r="A90" t="inlineStr" s="7">
        <is>
          <t xml:space="preserve">Nov 2026</t>
        </is>
      </c>
      <c r="B90" s="8">
        <f>SUMPRODUCT((Interest!$A$6:$A$19=B$79)*Interest!$G$6:$G$19*Interest!$M$6:$M$19^10)</f>
        <v>288590.3</v>
      </c>
      <c r="C90" s="8">
        <f>SUMPRODUCT((Interest!$A$6:$A$19=C$79)*Interest!$G$6:$G$19*Interest!$M$6:$M$19^10)</f>
        <v>130853.88</v>
      </c>
      <c r="D90" s="8">
        <f>SUMPRODUCT((Interest!$A$6:$A$19=D$79)*Interest!$G$6:$G$19*Interest!$M$6:$M$19^10)</f>
        <v>52737.84</v>
      </c>
      <c r="E90" s="8">
        <f>SUMPRODUCT((Interest!$A$6:$A$19=E$79)*Interest!$G$6:$G$19*Interest!$M$6:$M$19^10)</f>
        <v>15703.32</v>
      </c>
      <c r="F90" s="8">
        <f>SUMPRODUCT((Interest!$A$6:$A$19=F$79)*Interest!$G$6:$G$19*Interest!$M$6:$M$19^10)</f>
        <v>10193.51</v>
      </c>
      <c r="G90" s="8">
        <f>SUMPRODUCT((Interest!$A$6:$A$19=G$79)*Interest!$G$6:$G$19*Interest!$M$6:$M$19^10)</f>
        <v>12303.4</v>
      </c>
      <c r="H90" s="8">
        <f>SUMPRODUCT((Interest!$A$6:$A$19=H$79)*Interest!$G$6:$G$19*Interest!$M$6:$M$19^10)</f>
        <v>8219.62</v>
      </c>
      <c r="I90" s="8">
        <f>SUM(B90:H90)-SUM(B89:H89)</f>
        <v>2617.12</v>
      </c>
    </row>
    <row r="91">
      <c r="A91" t="inlineStr" s="7">
        <is>
          <t xml:space="preserve">Dec 2026</t>
        </is>
      </c>
      <c r="B91" s="8">
        <f>SUMPRODUCT((Interest!$A$6:$A$19=B$79)*Interest!$G$6:$G$19*Interest!$M$6:$M$19^11)</f>
        <v>290200.18</v>
      </c>
      <c r="C91" s="8">
        <f>SUMPRODUCT((Interest!$A$6:$A$19=C$79)*Interest!$G$6:$G$19*Interest!$M$6:$M$19^11)</f>
        <v>131454.63</v>
      </c>
      <c r="D91" s="8">
        <f>SUMPRODUCT((Interest!$A$6:$A$19=D$79)*Interest!$G$6:$G$19*Interest!$M$6:$M$19^11)</f>
        <v>53020.5</v>
      </c>
      <c r="E91" s="8">
        <f>SUMPRODUCT((Interest!$A$6:$A$19=E$79)*Interest!$G$6:$G$19*Interest!$M$6:$M$19^11)</f>
        <v>15768.88</v>
      </c>
      <c r="F91" s="8">
        <f>SUMPRODUCT((Interest!$A$6:$A$19=F$79)*Interest!$G$6:$G$19*Interest!$M$6:$M$19^11)</f>
        <v>10213.06</v>
      </c>
      <c r="G91" s="8">
        <f>SUMPRODUCT((Interest!$A$6:$A$19=G$79)*Interest!$G$6:$G$19*Interest!$M$6:$M$19^11)</f>
        <v>12334.16</v>
      </c>
      <c r="H91" s="8">
        <f>SUMPRODUCT((Interest!$A$6:$A$19=H$79)*Interest!$G$6:$G$19*Interest!$M$6:$M$19^11)</f>
        <v>8241.91</v>
      </c>
      <c r="I91" s="8">
        <f>SUM(B91:H91)-SUM(B90:H90)</f>
        <v>2631.46</v>
      </c>
    </row>
    <row r="92">
      <c r="A92" t="inlineStr" s="7">
        <is>
          <t xml:space="preserve">Jan 2027</t>
        </is>
      </c>
      <c r="B92" s="8">
        <f>SUMPRODUCT((Interest!$A$6:$A$19=B$79)*Interest!$G$6:$G$19*Interest!$M$6:$M$19^12)</f>
        <v>291819.54</v>
      </c>
      <c r="C92" s="8">
        <f>SUMPRODUCT((Interest!$A$6:$A$19=C$79)*Interest!$G$6:$G$19*Interest!$M$6:$M$19^12)</f>
        <v>132058.23</v>
      </c>
      <c r="D92" s="8">
        <f>SUMPRODUCT((Interest!$A$6:$A$19=D$79)*Interest!$G$6:$G$19*Interest!$M$6:$M$19^12)</f>
        <v>53304.82</v>
      </c>
      <c r="E92" s="8">
        <f>SUMPRODUCT((Interest!$A$6:$A$19=E$79)*Interest!$G$6:$G$19*Interest!$M$6:$M$19^12)</f>
        <v>15834.72</v>
      </c>
      <c r="F92" s="8">
        <f>SUMPRODUCT((Interest!$A$6:$A$19=F$79)*Interest!$G$6:$G$19*Interest!$M$6:$M$19^12)</f>
        <v>10232.66</v>
      </c>
      <c r="G92" s="8">
        <f>SUMPRODUCT((Interest!$A$6:$A$19=G$79)*Interest!$G$6:$G$19*Interest!$M$6:$M$19^12)</f>
        <v>12364.99</v>
      </c>
      <c r="H92" s="8">
        <f>SUMPRODUCT((Interest!$A$6:$A$19=H$79)*Interest!$G$6:$G$19*Interest!$M$6:$M$19^12)</f>
        <v>8264.26</v>
      </c>
      <c r="I92" s="8">
        <f>SUM(B92:H92)-SUM(B91:H91)</f>
        <v>2645.89</v>
      </c>
    </row>
    <row r="93">
      <c r="A93" t="inlineStr" s="7">
        <is>
          <t xml:space="preserve">Feb 2027</t>
        </is>
      </c>
      <c r="B93" s="8">
        <f>SUMPRODUCT((Interest!$A$6:$A$19=B$79)*Interest!$G$6:$G$19*Interest!$M$6:$M$19^13)</f>
        <v>293448.43</v>
      </c>
      <c r="C93" s="8">
        <f>SUMPRODUCT((Interest!$A$6:$A$19=C$79)*Interest!$G$6:$G$19*Interest!$M$6:$M$19^13)</f>
        <v>132664.69</v>
      </c>
      <c r="D93" s="8">
        <f>SUMPRODUCT((Interest!$A$6:$A$19=D$79)*Interest!$G$6:$G$19*Interest!$M$6:$M$19^13)</f>
        <v>53590.8</v>
      </c>
      <c r="E93" s="8">
        <f>SUMPRODUCT((Interest!$A$6:$A$19=E$79)*Interest!$G$6:$G$19*Interest!$M$6:$M$19^13)</f>
        <v>15900.83</v>
      </c>
      <c r="F93" s="8">
        <f>SUMPRODUCT((Interest!$A$6:$A$19=F$79)*Interest!$G$6:$G$19*Interest!$M$6:$M$19^13)</f>
        <v>10252.29</v>
      </c>
      <c r="G93" s="8">
        <f>SUMPRODUCT((Interest!$A$6:$A$19=G$79)*Interest!$G$6:$G$19*Interest!$M$6:$M$19^13)</f>
        <v>12395.9</v>
      </c>
      <c r="H93" s="8">
        <f>SUMPRODUCT((Interest!$A$6:$A$19=H$79)*Interest!$G$6:$G$19*Interest!$M$6:$M$19^13)</f>
        <v>8286.67</v>
      </c>
      <c r="I93" s="8">
        <f>SUM(B93:H93)-SUM(B92:H92)</f>
        <v>2660.4</v>
      </c>
    </row>
    <row r="94">
      <c r="A94" t="inlineStr" s="7">
        <is>
          <t xml:space="preserve">Mar 2027</t>
        </is>
      </c>
      <c r="B94" s="8">
        <f>SUMPRODUCT((Interest!$A$6:$A$19=B$79)*Interest!$G$6:$G$19*Interest!$M$6:$M$19^14)</f>
        <v>295086.93</v>
      </c>
      <c r="C94" s="8">
        <f>SUMPRODUCT((Interest!$A$6:$A$19=C$79)*Interest!$G$6:$G$19*Interest!$M$6:$M$19^14)</f>
        <v>133274.02</v>
      </c>
      <c r="D94" s="8">
        <f>SUMPRODUCT((Interest!$A$6:$A$19=D$79)*Interest!$G$6:$G$19*Interest!$M$6:$M$19^14)</f>
        <v>53878.46</v>
      </c>
      <c r="E94" s="8">
        <f>SUMPRODUCT((Interest!$A$6:$A$19=E$79)*Interest!$G$6:$G$19*Interest!$M$6:$M$19^14)</f>
        <v>15967.21</v>
      </c>
      <c r="F94" s="8">
        <f>SUMPRODUCT((Interest!$A$6:$A$19=F$79)*Interest!$G$6:$G$19*Interest!$M$6:$M$19^14)</f>
        <v>10271.96</v>
      </c>
      <c r="G94" s="8">
        <f>SUMPRODUCT((Interest!$A$6:$A$19=G$79)*Interest!$G$6:$G$19*Interest!$M$6:$M$19^14)</f>
        <v>12426.89</v>
      </c>
      <c r="H94" s="8">
        <f>SUMPRODUCT((Interest!$A$6:$A$19=H$79)*Interest!$G$6:$G$19*Interest!$M$6:$M$19^14)</f>
        <v>8309.14</v>
      </c>
      <c r="I94" s="8">
        <f>SUM(B94:H94)-SUM(B93:H93)</f>
        <v>2675.0</v>
      </c>
    </row>
    <row r="95">
      <c r="A95" t="inlineStr" s="7">
        <is>
          <t xml:space="preserve">Apr 2027</t>
        </is>
      </c>
      <c r="B95" s="8">
        <f>SUMPRODUCT((Interest!$A$6:$A$19=B$79)*Interest!$G$6:$G$19*Interest!$M$6:$M$19^15)</f>
        <v>296735.08</v>
      </c>
      <c r="C95" s="8">
        <f>SUMPRODUCT((Interest!$A$6:$A$19=C$79)*Interest!$G$6:$G$19*Interest!$M$6:$M$19^15)</f>
        <v>133886.25</v>
      </c>
      <c r="D95" s="8">
        <f>SUMPRODUCT((Interest!$A$6:$A$19=D$79)*Interest!$G$6:$G$19*Interest!$M$6:$M$19^15)</f>
        <v>54167.8</v>
      </c>
      <c r="E95" s="8">
        <f>SUMPRODUCT((Interest!$A$6:$A$19=E$79)*Interest!$G$6:$G$19*Interest!$M$6:$M$19^15)</f>
        <v>16033.88</v>
      </c>
      <c r="F95" s="8">
        <f>SUMPRODUCT((Interest!$A$6:$A$19=F$79)*Interest!$G$6:$G$19*Interest!$M$6:$M$19^15)</f>
        <v>10291.66</v>
      </c>
      <c r="G95" s="8">
        <f>SUMPRODUCT((Interest!$A$6:$A$19=G$79)*Interest!$G$6:$G$19*Interest!$M$6:$M$19^15)</f>
        <v>12457.96</v>
      </c>
      <c r="H95" s="8">
        <f>SUMPRODUCT((Interest!$A$6:$A$19=H$79)*Interest!$G$6:$G$19*Interest!$M$6:$M$19^15)</f>
        <v>8331.68</v>
      </c>
      <c r="I95" s="8">
        <f>SUM(B95:H95)-SUM(B94:H94)</f>
        <v>2689.69</v>
      </c>
    </row>
    <row r="96">
      <c r="A96" t="inlineStr" s="7">
        <is>
          <t xml:space="preserve">May 2027</t>
        </is>
      </c>
      <c r="B96" s="8">
        <f>SUMPRODUCT((Interest!$A$6:$A$19=B$79)*Interest!$G$6:$G$19*Interest!$M$6:$M$19^16)</f>
        <v>298392.95</v>
      </c>
      <c r="C96" s="8">
        <f>SUMPRODUCT((Interest!$A$6:$A$19=C$79)*Interest!$G$6:$G$19*Interest!$M$6:$M$19^16)</f>
        <v>134501.37</v>
      </c>
      <c r="D96" s="8">
        <f>SUMPRODUCT((Interest!$A$6:$A$19=D$79)*Interest!$G$6:$G$19*Interest!$M$6:$M$19^16)</f>
        <v>54458.84</v>
      </c>
      <c r="E96" s="8">
        <f>SUMPRODUCT((Interest!$A$6:$A$19=E$79)*Interest!$G$6:$G$19*Interest!$M$6:$M$19^16)</f>
        <v>16100.82</v>
      </c>
      <c r="F96" s="8">
        <f>SUMPRODUCT((Interest!$A$6:$A$19=F$79)*Interest!$G$6:$G$19*Interest!$M$6:$M$19^16)</f>
        <v>10311.41</v>
      </c>
      <c r="G96" s="8">
        <f>SUMPRODUCT((Interest!$A$6:$A$19=G$79)*Interest!$G$6:$G$19*Interest!$M$6:$M$19^16)</f>
        <v>12489.11</v>
      </c>
      <c r="H96" s="8">
        <f>SUMPRODUCT((Interest!$A$6:$A$19=H$79)*Interest!$G$6:$G$19*Interest!$M$6:$M$19^16)</f>
        <v>8354.27</v>
      </c>
      <c r="I96" s="8">
        <f>SUM(B96:H96)-SUM(B95:H95)</f>
        <v>2704.46</v>
      </c>
    </row>
    <row r="97">
      <c r="A97" t="inlineStr" s="7">
        <is>
          <t xml:space="preserve">Jun 2027</t>
        </is>
      </c>
      <c r="B97" s="8">
        <f>SUMPRODUCT((Interest!$A$6:$A$19=B$79)*Interest!$G$6:$G$19*Interest!$M$6:$M$19^17)</f>
        <v>300060.6</v>
      </c>
      <c r="C97" s="8">
        <f>SUMPRODUCT((Interest!$A$6:$A$19=C$79)*Interest!$G$6:$G$19*Interest!$M$6:$M$19^17)</f>
        <v>135119.42</v>
      </c>
      <c r="D97" s="8">
        <f>SUMPRODUCT((Interest!$A$6:$A$19=D$79)*Interest!$G$6:$G$19*Interest!$M$6:$M$19^17)</f>
        <v>54751.59</v>
      </c>
      <c r="E97" s="8">
        <f>SUMPRODUCT((Interest!$A$6:$A$19=E$79)*Interest!$G$6:$G$19*Interest!$M$6:$M$19^17)</f>
        <v>16168.04</v>
      </c>
      <c r="F97" s="8">
        <f>SUMPRODUCT((Interest!$A$6:$A$19=F$79)*Interest!$G$6:$G$19*Interest!$M$6:$M$19^17)</f>
        <v>10331.19</v>
      </c>
      <c r="G97" s="8">
        <f>SUMPRODUCT((Interest!$A$6:$A$19=G$79)*Interest!$G$6:$G$19*Interest!$M$6:$M$19^17)</f>
        <v>12520.33</v>
      </c>
      <c r="H97" s="8">
        <f>SUMPRODUCT((Interest!$A$6:$A$19=H$79)*Interest!$G$6:$G$19*Interest!$M$6:$M$19^17)</f>
        <v>8376.93</v>
      </c>
      <c r="I97" s="8">
        <f>SUM(B97:H97)-SUM(B96:H96)</f>
        <v>2719.32</v>
      </c>
    </row>
    <row r="98">
      <c r="A98" t="inlineStr" s="7">
        <is>
          <t xml:space="preserve">Jul 2027</t>
        </is>
      </c>
      <c r="B98" s="8">
        <f>SUMPRODUCT((Interest!$A$6:$A$19=B$79)*Interest!$G$6:$G$19*Interest!$M$6:$M$19^18)</f>
        <v>301738.1</v>
      </c>
      <c r="C98" s="8">
        <f>SUMPRODUCT((Interest!$A$6:$A$19=C$79)*Interest!$G$6:$G$19*Interest!$M$6:$M$19^18)</f>
        <v>135740.39</v>
      </c>
      <c r="D98" s="8">
        <f>SUMPRODUCT((Interest!$A$6:$A$19=D$79)*Interest!$G$6:$G$19*Interest!$M$6:$M$19^18)</f>
        <v>55046.05</v>
      </c>
      <c r="E98" s="8">
        <f>SUMPRODUCT((Interest!$A$6:$A$19=E$79)*Interest!$G$6:$G$19*Interest!$M$6:$M$19^18)</f>
        <v>16235.55</v>
      </c>
      <c r="F98" s="8">
        <f>SUMPRODUCT((Interest!$A$6:$A$19=F$79)*Interest!$G$6:$G$19*Interest!$M$6:$M$19^18)</f>
        <v>10351.01</v>
      </c>
      <c r="G98" s="8">
        <f>SUMPRODUCT((Interest!$A$6:$A$19=G$79)*Interest!$G$6:$G$19*Interest!$M$6:$M$19^18)</f>
        <v>12551.63</v>
      </c>
      <c r="H98" s="8">
        <f>SUMPRODUCT((Interest!$A$6:$A$19=H$79)*Interest!$G$6:$G$19*Interest!$M$6:$M$19^18)</f>
        <v>8399.64</v>
      </c>
      <c r="I98" s="8">
        <f>SUM(B98:H98)-SUM(B97:H97)</f>
        <v>2734.27</v>
      </c>
    </row>
    <row r="99">
      <c r="A99" t="inlineStr" s="7">
        <is>
          <t xml:space="preserve">Aug 2027</t>
        </is>
      </c>
      <c r="B99" s="8">
        <f>SUMPRODUCT((Interest!$A$6:$A$19=B$79)*Interest!$G$6:$G$19*Interest!$M$6:$M$19^19)</f>
        <v>303425.49</v>
      </c>
      <c r="C99" s="8">
        <f>SUMPRODUCT((Interest!$A$6:$A$19=C$79)*Interest!$G$6:$G$19*Interest!$M$6:$M$19^19)</f>
        <v>136364.31</v>
      </c>
      <c r="D99" s="8">
        <f>SUMPRODUCT((Interest!$A$6:$A$19=D$79)*Interest!$G$6:$G$19*Interest!$M$6:$M$19^19)</f>
        <v>55342.24</v>
      </c>
      <c r="E99" s="8">
        <f>SUMPRODUCT((Interest!$A$6:$A$19=E$79)*Interest!$G$6:$G$19*Interest!$M$6:$M$19^19)</f>
        <v>16303.33</v>
      </c>
      <c r="F99" s="8">
        <f>SUMPRODUCT((Interest!$A$6:$A$19=F$79)*Interest!$G$6:$G$19*Interest!$M$6:$M$19^19)</f>
        <v>10370.87</v>
      </c>
      <c r="G99" s="8">
        <f>SUMPRODUCT((Interest!$A$6:$A$19=G$79)*Interest!$G$6:$G$19*Interest!$M$6:$M$19^19)</f>
        <v>12583.01</v>
      </c>
      <c r="H99" s="8">
        <f>SUMPRODUCT((Interest!$A$6:$A$19=H$79)*Interest!$G$6:$G$19*Interest!$M$6:$M$19^19)</f>
        <v>8422.42</v>
      </c>
      <c r="I99" s="8">
        <f>SUM(B99:H99)-SUM(B98:H98)</f>
        <v>2749.31</v>
      </c>
    </row>
    <row r="100">
      <c r="A100" t="inlineStr" s="7">
        <is>
          <t xml:space="preserve">Sep 2027</t>
        </is>
      </c>
      <c r="B100" s="8">
        <f>SUMPRODUCT((Interest!$A$6:$A$19=B$79)*Interest!$G$6:$G$19*Interest!$M$6:$M$19^20)</f>
        <v>305122.85</v>
      </c>
      <c r="C100" s="8">
        <f>SUMPRODUCT((Interest!$A$6:$A$19=C$79)*Interest!$G$6:$G$19*Interest!$M$6:$M$19^20)</f>
        <v>136991.19</v>
      </c>
      <c r="D100" s="8">
        <f>SUMPRODUCT((Interest!$A$6:$A$19=D$79)*Interest!$G$6:$G$19*Interest!$M$6:$M$19^20)</f>
        <v>55640.17</v>
      </c>
      <c r="E100" s="8">
        <f>SUMPRODUCT((Interest!$A$6:$A$19=E$79)*Interest!$G$6:$G$19*Interest!$M$6:$M$19^20)</f>
        <v>16371.4</v>
      </c>
      <c r="F100" s="8">
        <f>SUMPRODUCT((Interest!$A$6:$A$19=F$79)*Interest!$G$6:$G$19*Interest!$M$6:$M$19^20)</f>
        <v>10390.76</v>
      </c>
      <c r="G100" s="8">
        <f>SUMPRODUCT((Interest!$A$6:$A$19=G$79)*Interest!$G$6:$G$19*Interest!$M$6:$M$19^20)</f>
        <v>12614.47</v>
      </c>
      <c r="H100" s="8">
        <f>SUMPRODUCT((Interest!$A$6:$A$19=H$79)*Interest!$G$6:$G$19*Interest!$M$6:$M$19^20)</f>
        <v>8445.26</v>
      </c>
      <c r="I100" s="8">
        <f>SUM(B100:H100)-SUM(B99:H99)</f>
        <v>2764.43</v>
      </c>
    </row>
    <row r="101">
      <c r="A101" t="inlineStr" s="7">
        <is>
          <t xml:space="preserve">Oct 2027</t>
        </is>
      </c>
      <c r="B101" s="8">
        <f>SUMPRODUCT((Interest!$A$6:$A$19=B$79)*Interest!$G$6:$G$19*Interest!$M$6:$M$19^21)</f>
        <v>306830.24</v>
      </c>
      <c r="C101" s="8">
        <f>SUMPRODUCT((Interest!$A$6:$A$19=C$79)*Interest!$G$6:$G$19*Interest!$M$6:$M$19^21)</f>
        <v>137621.04</v>
      </c>
      <c r="D101" s="8">
        <f>SUMPRODUCT((Interest!$A$6:$A$19=D$79)*Interest!$G$6:$G$19*Interest!$M$6:$M$19^21)</f>
        <v>55939.85</v>
      </c>
      <c r="E101" s="8">
        <f>SUMPRODUCT((Interest!$A$6:$A$19=E$79)*Interest!$G$6:$G$19*Interest!$M$6:$M$19^21)</f>
        <v>16439.75</v>
      </c>
      <c r="F101" s="8">
        <f>SUMPRODUCT((Interest!$A$6:$A$19=F$79)*Interest!$G$6:$G$19*Interest!$M$6:$M$19^21)</f>
        <v>10410.7</v>
      </c>
      <c r="G101" s="8">
        <f>SUMPRODUCT((Interest!$A$6:$A$19=G$79)*Interest!$G$6:$G$19*Interest!$M$6:$M$19^21)</f>
        <v>12646.0</v>
      </c>
      <c r="H101" s="8">
        <f>SUMPRODUCT((Interest!$A$6:$A$19=H$79)*Interest!$G$6:$G$19*Interest!$M$6:$M$19^21)</f>
        <v>8468.17</v>
      </c>
      <c r="I101" s="8">
        <f>SUM(B101:H101)-SUM(B100:H100)</f>
        <v>2779.65</v>
      </c>
    </row>
    <row r="102">
      <c r="A102" t="inlineStr" s="7">
        <is>
          <t xml:space="preserve">Nov 2027</t>
        </is>
      </c>
      <c r="B102" s="8">
        <f>SUMPRODUCT((Interest!$A$6:$A$19=B$79)*Interest!$G$6:$G$19*Interest!$M$6:$M$19^22)</f>
        <v>308547.73</v>
      </c>
      <c r="C102" s="8">
        <f>SUMPRODUCT((Interest!$A$6:$A$19=C$79)*Interest!$G$6:$G$19*Interest!$M$6:$M$19^22)</f>
        <v>138253.89</v>
      </c>
      <c r="D102" s="8">
        <f>SUMPRODUCT((Interest!$A$6:$A$19=D$79)*Interest!$G$6:$G$19*Interest!$M$6:$M$19^22)</f>
        <v>56241.29</v>
      </c>
      <c r="E102" s="8">
        <f>SUMPRODUCT((Interest!$A$6:$A$19=E$79)*Interest!$G$6:$G$19*Interest!$M$6:$M$19^22)</f>
        <v>16508.39</v>
      </c>
      <c r="F102" s="8">
        <f>SUMPRODUCT((Interest!$A$6:$A$19=F$79)*Interest!$G$6:$G$19*Interest!$M$6:$M$19^22)</f>
        <v>10430.67</v>
      </c>
      <c r="G102" s="8">
        <f>SUMPRODUCT((Interest!$A$6:$A$19=G$79)*Interest!$G$6:$G$19*Interest!$M$6:$M$19^22)</f>
        <v>12677.62</v>
      </c>
      <c r="H102" s="8">
        <f>SUMPRODUCT((Interest!$A$6:$A$19=H$79)*Interest!$G$6:$G$19*Interest!$M$6:$M$19^22)</f>
        <v>8491.13</v>
      </c>
      <c r="I102" s="8">
        <f>SUM(B102:H102)-SUM(B101:H101)</f>
        <v>2794.95</v>
      </c>
    </row>
    <row r="103">
      <c r="A103" t="inlineStr" s="7">
        <is>
          <t xml:space="preserve">Dec 2027</t>
        </is>
      </c>
      <c r="B103" s="8">
        <f>SUMPRODUCT((Interest!$A$6:$A$19=B$79)*Interest!$G$6:$G$19*Interest!$M$6:$M$19^23)</f>
        <v>310275.36</v>
      </c>
      <c r="C103" s="8">
        <f>SUMPRODUCT((Interest!$A$6:$A$19=C$79)*Interest!$G$6:$G$19*Interest!$M$6:$M$19^23)</f>
        <v>138889.73</v>
      </c>
      <c r="D103" s="8">
        <f>SUMPRODUCT((Interest!$A$6:$A$19=D$79)*Interest!$G$6:$G$19*Interest!$M$6:$M$19^23)</f>
        <v>56544.5</v>
      </c>
      <c r="E103" s="8">
        <f>SUMPRODUCT((Interest!$A$6:$A$19=E$79)*Interest!$G$6:$G$19*Interest!$M$6:$M$19^23)</f>
        <v>16577.31</v>
      </c>
      <c r="F103" s="8">
        <f>SUMPRODUCT((Interest!$A$6:$A$19=F$79)*Interest!$G$6:$G$19*Interest!$M$6:$M$19^23)</f>
        <v>10450.68</v>
      </c>
      <c r="G103" s="8">
        <f>SUMPRODUCT((Interest!$A$6:$A$19=G$79)*Interest!$G$6:$G$19*Interest!$M$6:$M$19^23)</f>
        <v>12709.31</v>
      </c>
      <c r="H103" s="8">
        <f>SUMPRODUCT((Interest!$A$6:$A$19=H$79)*Interest!$G$6:$G$19*Interest!$M$6:$M$19^23)</f>
        <v>8514.16</v>
      </c>
      <c r="I103" s="8">
        <f>SUM(B103:H103)-SUM(B102:H102)</f>
        <v>2810.35</v>
      </c>
    </row>
  </sheetData>
  <mergeCells count="27">
    <mergeCell ref="A1:M1"/>
    <mergeCell ref="A2:B2"/>
    <mergeCell ref="C2:D2"/>
    <mergeCell ref="E2:F2"/>
    <mergeCell ref="G2:H2"/>
    <mergeCell ref="I2:J2"/>
    <mergeCell ref="A3:M3"/>
    <mergeCell ref="A4:M4"/>
    <mergeCell ref="A5:D5"/>
    <mergeCell ref="E5:H5"/>
    <mergeCell ref="A6:D6"/>
    <mergeCell ref="E6:H6"/>
    <mergeCell ref="A7:D7"/>
    <mergeCell ref="E7:H7"/>
    <mergeCell ref="A8:D8"/>
    <mergeCell ref="E8:H8"/>
    <mergeCell ref="A10:M10"/>
    <mergeCell ref="A11:D11"/>
    <mergeCell ref="E11:H11"/>
    <mergeCell ref="A12:D12"/>
    <mergeCell ref="E12:H12"/>
    <mergeCell ref="A13:D13"/>
    <mergeCell ref="E13:H13"/>
    <mergeCell ref="A15:M15"/>
    <mergeCell ref="A27:M27"/>
    <mergeCell ref="A51:M51"/>
    <mergeCell ref="A77:M77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3" style="20" customWidth="1"/>
    <col min="2" max="2" width="12" style="21" customWidth="1"/>
    <col min="3" max="3" width="24" style="21" customWidth="1"/>
    <col min="4" max="4" width="15" style="19" customWidth="1"/>
    <col min="5" max="5" width="28" style="21" customWidth="1"/>
    <col min="6" max="6" width="10" customWidth="1"/>
    <col min="7" max="7" width="10" customWidth="1"/>
    <col min="8" max="8" width="10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3">
        <is>
          <t xml:space="preserve">➕ Deposit</t>
        </is>
      </c>
      <c r="D2" s="3"/>
      <c r="E2" t="inlineStr" s="2">
        <is>
          <t xml:space="preserve">🔄 Transactions</t>
        </is>
      </c>
      <c r="F2" s="2"/>
      <c r="G2" t="inlineStr" s="2">
        <is>
          <t xml:space="preserve">💼 Balance</t>
        </is>
      </c>
      <c r="H2" s="2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Log every deposit here. Type a new deposit on the next empty row of the table — balances update automatically. Use the filter arrows to search.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➕ Add / View Deposits  (enter new deposits on the next empty row)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20" customHeight="1">
      <c r="A5" t="inlineStr" s="6">
        <is>
          <t xml:space="preserve">Date</t>
        </is>
      </c>
      <c r="B5" t="inlineStr" s="6">
        <is>
          <t xml:space="preserve">Bank</t>
        </is>
      </c>
      <c r="C5" t="inlineStr" s="6">
        <is>
          <t xml:space="preserve">Account</t>
        </is>
      </c>
      <c r="D5" t="inlineStr" s="6">
        <is>
          <t xml:space="preserve">Amount</t>
        </is>
      </c>
      <c r="E5" t="inlineStr" s="6">
        <is>
          <t xml:space="preserve">Notes</t>
        </is>
      </c>
      <c r="F5" s="6"/>
      <c r="G5" s="6"/>
      <c r="H5" s="6"/>
      <c r="I5" s="6"/>
      <c r="J5" s="6"/>
      <c r="K5" s="6"/>
      <c r="L5" s="6"/>
      <c r="M5" s="6"/>
    </row>
    <row r="6">
      <c r="A6" s="20">
        <v>46174</v>
      </c>
      <c r="B6" t="inlineStr" s="21">
        <is>
          <t xml:space="preserve">Maya</t>
        </is>
      </c>
      <c r="C6" t="inlineStr" s="21">
        <is>
          <t xml:space="preserve">Maya - Savings</t>
        </is>
      </c>
      <c r="D6" s="19">
        <v>50000</v>
      </c>
      <c r="E6" t="inlineStr" s="21">
        <is>
          <t xml:space="preserve">Opening balance (example)</t>
        </is>
      </c>
    </row>
    <row r="7">
      <c r="A7" s="20">
        <v>46174</v>
      </c>
      <c r="B7" t="inlineStr" s="21">
        <is>
          <t xml:space="preserve">Maya</t>
        </is>
      </c>
      <c r="C7" t="inlineStr" s="21">
        <is>
          <t xml:space="preserve">Maya - Time Deposit 1</t>
        </is>
      </c>
      <c r="D7" s="19">
        <v>100000</v>
      </c>
      <c r="E7" t="inlineStr" s="21">
        <is>
          <t xml:space="preserve">Opening balance (example)</t>
        </is>
      </c>
    </row>
    <row r="8">
      <c r="A8" s="20">
        <v>46174</v>
      </c>
      <c r="B8" t="inlineStr" s="21">
        <is>
          <t xml:space="preserve">Maya</t>
        </is>
      </c>
      <c r="C8" t="inlineStr" s="21">
        <is>
          <t xml:space="preserve">Maya - Time Deposit 2</t>
        </is>
      </c>
      <c r="D8" s="19">
        <v>100000</v>
      </c>
      <c r="E8" t="inlineStr" s="21">
        <is>
          <t xml:space="preserve">Opening balance (example)</t>
        </is>
      </c>
    </row>
    <row r="9">
      <c r="A9" s="20">
        <v>46174</v>
      </c>
      <c r="B9" t="inlineStr" s="21">
        <is>
          <t xml:space="preserve">Maya</t>
        </is>
      </c>
      <c r="C9" t="inlineStr" s="21">
        <is>
          <t xml:space="preserve">Maya - Personal Goal</t>
        </is>
      </c>
      <c r="D9" s="19">
        <v>25000</v>
      </c>
      <c r="E9" t="inlineStr" s="21">
        <is>
          <t xml:space="preserve">Opening balance (example)</t>
        </is>
      </c>
    </row>
    <row r="10">
      <c r="A10" s="20">
        <v>46174</v>
      </c>
      <c r="B10" t="inlineStr" s="21">
        <is>
          <t xml:space="preserve">UNO</t>
        </is>
      </c>
      <c r="C10" t="inlineStr" s="21">
        <is>
          <t xml:space="preserve">UNO - Digi Savings</t>
        </is>
      </c>
      <c r="D10" s="19">
        <v>20000</v>
      </c>
      <c r="E10" t="inlineStr" s="21">
        <is>
          <t xml:space="preserve">Opening balance (example)</t>
        </is>
      </c>
    </row>
    <row r="11">
      <c r="A11" s="20">
        <v>46174</v>
      </c>
      <c r="B11" t="inlineStr" s="21">
        <is>
          <t xml:space="preserve">UNO</t>
        </is>
      </c>
      <c r="C11" t="inlineStr" s="21">
        <is>
          <t xml:space="preserve">UNO - Time Deposit 1</t>
        </is>
      </c>
      <c r="D11" s="19">
        <v>50000</v>
      </c>
      <c r="E11" t="inlineStr" s="21">
        <is>
          <t xml:space="preserve">Opening balance (example)</t>
        </is>
      </c>
    </row>
    <row r="12">
      <c r="A12" s="20">
        <v>46174</v>
      </c>
      <c r="B12" t="inlineStr" s="21">
        <is>
          <t xml:space="preserve">UNO</t>
        </is>
      </c>
      <c r="C12" t="inlineStr" s="21">
        <is>
          <t xml:space="preserve">UNO - Time Deposit 2</t>
        </is>
      </c>
      <c r="D12" s="19">
        <v>50000</v>
      </c>
      <c r="E12" t="inlineStr" s="21">
        <is>
          <t xml:space="preserve">Opening balance (example)</t>
        </is>
      </c>
    </row>
    <row r="13">
      <c r="A13" s="20">
        <v>46174</v>
      </c>
      <c r="B13" t="inlineStr" s="21">
        <is>
          <t xml:space="preserve">Tonik</t>
        </is>
      </c>
      <c r="C13" t="inlineStr" s="21">
        <is>
          <t xml:space="preserve">Tonik - Stash 1</t>
        </is>
      </c>
      <c r="D13" s="19">
        <v>10000</v>
      </c>
      <c r="E13" t="inlineStr" s="21">
        <is>
          <t xml:space="preserve">Opening balance (example)</t>
        </is>
      </c>
    </row>
    <row r="14">
      <c r="A14" s="20">
        <v>46174</v>
      </c>
      <c r="B14" t="inlineStr" s="21">
        <is>
          <t xml:space="preserve">Tonik</t>
        </is>
      </c>
      <c r="C14" t="inlineStr" s="21">
        <is>
          <t xml:space="preserve">Tonik - Stash 2</t>
        </is>
      </c>
      <c r="D14" s="19">
        <v>10000</v>
      </c>
      <c r="E14" t="inlineStr" s="21">
        <is>
          <t xml:space="preserve">Opening balance (example)</t>
        </is>
      </c>
    </row>
    <row r="15">
      <c r="A15" s="20">
        <v>46174</v>
      </c>
      <c r="B15" t="inlineStr" s="21">
        <is>
          <t xml:space="preserve">Tonik</t>
        </is>
      </c>
      <c r="C15" t="inlineStr" s="21">
        <is>
          <t xml:space="preserve">Tonik - Time Deposit</t>
        </is>
      </c>
      <c r="D15" s="19">
        <v>30000</v>
      </c>
      <c r="E15" t="inlineStr" s="21">
        <is>
          <t xml:space="preserve">Opening balance (example)</t>
        </is>
      </c>
    </row>
    <row r="16">
      <c r="A16" s="20">
        <v>46174</v>
      </c>
      <c r="B16" t="inlineStr" s="21">
        <is>
          <t xml:space="preserve">Banko</t>
        </is>
      </c>
      <c r="C16" t="inlineStr" s="21">
        <is>
          <t xml:space="preserve">Banko - Savings</t>
        </is>
      </c>
      <c r="D16" s="19">
        <v>15000</v>
      </c>
      <c r="E16" t="inlineStr" s="21">
        <is>
          <t xml:space="preserve">Opening balance (example)</t>
        </is>
      </c>
    </row>
    <row r="17">
      <c r="A17" s="20">
        <v>46174</v>
      </c>
      <c r="B17" t="inlineStr" s="21">
        <is>
          <t xml:space="preserve">CIMB</t>
        </is>
      </c>
      <c r="C17" t="inlineStr" s="21">
        <is>
          <t xml:space="preserve">CIMB - Savings</t>
        </is>
      </c>
      <c r="D17" s="19">
        <v>10000</v>
      </c>
      <c r="E17" t="inlineStr" s="21">
        <is>
          <t xml:space="preserve">Opening balance (example)</t>
        </is>
      </c>
    </row>
    <row r="18">
      <c r="A18" s="20">
        <v>46174</v>
      </c>
      <c r="B18" t="inlineStr" s="21">
        <is>
          <t xml:space="preserve">GoTyme</t>
        </is>
      </c>
      <c r="C18" t="inlineStr" s="21">
        <is>
          <t xml:space="preserve">GoTyme - GoSave</t>
        </is>
      </c>
      <c r="D18" s="19">
        <v>12000</v>
      </c>
      <c r="E18" t="inlineStr" s="21">
        <is>
          <t xml:space="preserve">Opening balance (example)</t>
        </is>
      </c>
    </row>
    <row r="19">
      <c r="A19" s="20">
        <v>46174</v>
      </c>
      <c r="B19" t="inlineStr" s="21">
        <is>
          <t xml:space="preserve">Maribank</t>
        </is>
      </c>
      <c r="C19" t="inlineStr" s="21">
        <is>
          <t xml:space="preserve">Maribank - Savings</t>
        </is>
      </c>
      <c r="D19" s="19">
        <v>8000</v>
      </c>
      <c r="E19" t="inlineStr" s="21">
        <is>
          <t xml:space="preserve">Opening balance (example)</t>
        </is>
      </c>
    </row>
  </sheetData>
  <mergeCells count="8">
    <mergeCell ref="A1:M1"/>
    <mergeCell ref="A2:B2"/>
    <mergeCell ref="C2:D2"/>
    <mergeCell ref="E2:F2"/>
    <mergeCell ref="G2:H2"/>
    <mergeCell ref="I2:J2"/>
    <mergeCell ref="A3:M3"/>
    <mergeCell ref="A4:M4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3" style="20" customWidth="1"/>
    <col min="2" max="2" width="14" style="21" customWidth="1"/>
    <col min="3" max="3" width="12" style="21" customWidth="1"/>
    <col min="4" max="4" width="24" style="21" customWidth="1"/>
    <col min="5" max="5" width="15" style="19" customWidth="1"/>
    <col min="6" max="6" width="28" style="21" customWidth="1"/>
    <col min="7" max="7" width="10" customWidth="1"/>
    <col min="8" max="8" width="10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2">
        <is>
          <t xml:space="preserve">➕ Deposit</t>
        </is>
      </c>
      <c r="D2" s="2"/>
      <c r="E2" t="inlineStr" s="3">
        <is>
          <t xml:space="preserve">🔄 Transactions</t>
        </is>
      </c>
      <c r="F2" s="3"/>
      <c r="G2" t="inlineStr" s="2">
        <is>
          <t xml:space="preserve">💼 Balance</t>
        </is>
      </c>
      <c r="H2" s="2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All money movements: deposits, withdrawals, transfers and interest postings. Use negative amounts for money out. Filter by any column.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🔄 Transaction Log  (use the filter arrows to search / sort)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20" customHeight="1">
      <c r="A5" t="inlineStr" s="6">
        <is>
          <t xml:space="preserve">Date</t>
        </is>
      </c>
      <c r="B5" t="inlineStr" s="6">
        <is>
          <t xml:space="preserve">Type</t>
        </is>
      </c>
      <c r="C5" t="inlineStr" s="6">
        <is>
          <t xml:space="preserve">Bank</t>
        </is>
      </c>
      <c r="D5" t="inlineStr" s="6">
        <is>
          <t xml:space="preserve">Account</t>
        </is>
      </c>
      <c r="E5" t="inlineStr" s="6">
        <is>
          <t xml:space="preserve">Amount</t>
        </is>
      </c>
      <c r="F5" t="inlineStr" s="6">
        <is>
          <t xml:space="preserve">Notes</t>
        </is>
      </c>
      <c r="G5" s="6"/>
      <c r="H5" s="6"/>
      <c r="I5" s="6"/>
      <c r="J5" s="6"/>
      <c r="K5" s="6"/>
      <c r="L5" s="6"/>
      <c r="M5" s="6"/>
    </row>
    <row r="6">
      <c r="A6" s="20">
        <v>46188</v>
      </c>
      <c r="B6" t="inlineStr" s="21">
        <is>
          <t xml:space="preserve">Withdrawal</t>
        </is>
      </c>
      <c r="C6" t="inlineStr" s="21">
        <is>
          <t xml:space="preserve">Maya</t>
        </is>
      </c>
      <c r="D6" t="inlineStr" s="21">
        <is>
          <t xml:space="preserve">Maya - Savings</t>
        </is>
      </c>
      <c r="E6" s="19">
        <v>-2000</v>
      </c>
      <c r="F6" t="inlineStr" s="21">
        <is>
          <t xml:space="preserve">ATM withdrawal (example)</t>
        </is>
      </c>
    </row>
    <row r="7">
      <c r="A7" s="20">
        <v>46193</v>
      </c>
      <c r="B7" t="inlineStr" s="21">
        <is>
          <t xml:space="preserve">Interest</t>
        </is>
      </c>
      <c r="C7" t="inlineStr" s="21">
        <is>
          <t xml:space="preserve">Banko</t>
        </is>
      </c>
      <c r="D7" t="inlineStr" s="21">
        <is>
          <t xml:space="preserve">Banko - Savings</t>
        </is>
      </c>
      <c r="E7" s="19">
        <v>62.5</v>
      </c>
      <c r="F7" t="inlineStr" s="21">
        <is>
          <t xml:space="preserve">Interest posting (example)</t>
        </is>
      </c>
    </row>
    <row r="8">
      <c r="A8" s="20">
        <v>46198</v>
      </c>
      <c r="B8" t="inlineStr" s="21">
        <is>
          <t xml:space="preserve">Transfer</t>
        </is>
      </c>
      <c r="C8" t="inlineStr" s="21">
        <is>
          <t xml:space="preserve">UNO</t>
        </is>
      </c>
      <c r="D8" t="inlineStr" s="21">
        <is>
          <t xml:space="preserve">UNO - Digi Savings</t>
        </is>
      </c>
      <c r="E8" s="19">
        <v>5000</v>
      </c>
      <c r="F8" t="inlineStr" s="21">
        <is>
          <t xml:space="preserve">Transfer in (example)</t>
        </is>
      </c>
    </row>
  </sheetData>
  <mergeCells count="8">
    <mergeCell ref="A1:M1"/>
    <mergeCell ref="A2:B2"/>
    <mergeCell ref="C2:D2"/>
    <mergeCell ref="E2:F2"/>
    <mergeCell ref="G2:H2"/>
    <mergeCell ref="I2:J2"/>
    <mergeCell ref="A3:M3"/>
    <mergeCell ref="A4:M4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2" customWidth="1"/>
    <col min="2" max="2" width="16" customWidth="1"/>
    <col min="3" max="3" width="24" customWidth="1"/>
    <col min="4" max="4" width="15" customWidth="1"/>
    <col min="5" max="5" width="16" customWidth="1"/>
    <col min="6" max="6" width="16" customWidth="1"/>
    <col min="7" max="7" width="16" customWidth="1"/>
    <col min="8" max="8" width="18" customWidth="1"/>
    <col min="9" max="9" width="10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2">
        <is>
          <t xml:space="preserve">➕ Deposit</t>
        </is>
      </c>
      <c r="D2" s="2"/>
      <c r="E2" t="inlineStr" s="2">
        <is>
          <t xml:space="preserve">🔄 Transactions</t>
        </is>
      </c>
      <c r="F2" s="2"/>
      <c r="G2" t="inlineStr" s="3">
        <is>
          <t xml:space="preserve">💼 Balance</t>
        </is>
      </c>
      <c r="H2" s="3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Current balance per account = Deposits + Net Transactions. Projected columns include compounding interest from the Interest tab.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💼 Balances by Account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28" customHeight="1">
      <c r="A5" t="inlineStr" s="6">
        <is>
          <t xml:space="preserve">Bank</t>
        </is>
      </c>
      <c r="B5" t="inlineStr" s="6">
        <is>
          <t xml:space="preserve">Account</t>
        </is>
      </c>
      <c r="C5" t="inlineStr" s="6">
        <is>
          <t xml:space="preserve">Account Label</t>
        </is>
      </c>
      <c r="D5" t="inlineStr" s="6">
        <is>
          <t xml:space="preserve">Deposits</t>
        </is>
      </c>
      <c r="E5" t="inlineStr" s="6">
        <is>
          <t xml:space="preserve">Net Transactions</t>
        </is>
      </c>
      <c r="F5" t="inlineStr" s="6">
        <is>
          <t xml:space="preserve">Current Balance</t>
        </is>
      </c>
      <c r="G5" t="inlineStr" s="6">
        <is>
          <t xml:space="preserve">Interest (1 Yr)</t>
        </is>
      </c>
      <c r="H5" t="inlineStr" s="6">
        <is>
          <t xml:space="preserve">Proj. Balance (1 Yr)</t>
        </is>
      </c>
      <c r="I5" s="6"/>
      <c r="J5" s="6"/>
      <c r="K5" s="6"/>
      <c r="L5" s="6"/>
      <c r="M5" s="6"/>
    </row>
    <row r="6">
      <c r="A6" t="inlineStr" s="7">
        <is>
          <t xml:space="preserve">Maya</t>
        </is>
      </c>
      <c r="B6" t="inlineStr" s="7">
        <is>
          <t xml:space="preserve">Savings</t>
        </is>
      </c>
      <c r="C6" t="inlineStr" s="7">
        <is>
          <t xml:space="preserve">Maya - Savings</t>
        </is>
      </c>
      <c r="D6" s="8">
        <f>SUMIFS(Deposit!$D$6:$D$205,Deposit!$C$6:$C$205,C6)</f>
        <v>50000.0</v>
      </c>
      <c r="E6" s="8">
        <f>SUMIFS(Transactions!$E$6:$E$205,Transactions!$D$6:$D$205,C6)</f>
        <v>-2000.0</v>
      </c>
      <c r="F6" s="8">
        <f>D6+E6</f>
        <v>48000.0</v>
      </c>
      <c r="G6" s="8">
        <f>IFERROR(VLOOKUP(C6,Interest!$D$6:$L$19,9,FALSE),0)</f>
        <v>5047.48</v>
      </c>
      <c r="H6" s="8">
        <f>F6+G6</f>
        <v>53047.48</v>
      </c>
      <c r="I6" s="21"/>
      <c r="J6" s="21"/>
      <c r="K6" s="21"/>
      <c r="L6" s="21"/>
      <c r="M6" s="21"/>
    </row>
    <row r="7">
      <c r="A7" t="inlineStr" s="7">
        <is>
          <t xml:space="preserve">Maya</t>
        </is>
      </c>
      <c r="B7" t="inlineStr" s="7">
        <is>
          <t xml:space="preserve">Time Deposit 1</t>
        </is>
      </c>
      <c r="C7" t="inlineStr" s="7">
        <is>
          <t xml:space="preserve">Maya - Time Deposit 1</t>
        </is>
      </c>
      <c r="D7" s="8">
        <f>SUMIFS(Deposit!$D$6:$D$205,Deposit!$C$6:$C$205,C7)</f>
        <v>100000.0</v>
      </c>
      <c r="E7" s="8">
        <f>SUMIFS(Transactions!$E$6:$E$205,Transactions!$D$6:$D$205,C7)</f>
        <v>0.0</v>
      </c>
      <c r="F7" s="8">
        <f>D7+E7</f>
        <v>100000.0</v>
      </c>
      <c r="G7" s="8">
        <f>IFERROR(VLOOKUP(C7,Interest!$D$6:$L$19,9,FALSE),0)</f>
        <v>6167.78</v>
      </c>
      <c r="H7" s="8">
        <f>F7+G7</f>
        <v>106167.78</v>
      </c>
      <c r="I7" s="21"/>
      <c r="J7" s="21"/>
      <c r="K7" s="21"/>
      <c r="L7" s="21"/>
      <c r="M7" s="21"/>
    </row>
    <row r="8">
      <c r="A8" t="inlineStr" s="7">
        <is>
          <t xml:space="preserve">Maya</t>
        </is>
      </c>
      <c r="B8" t="inlineStr" s="7">
        <is>
          <t xml:space="preserve">Time Deposit 2</t>
        </is>
      </c>
      <c r="C8" t="inlineStr" s="7">
        <is>
          <t xml:space="preserve">Maya - Time Deposit 2</t>
        </is>
      </c>
      <c r="D8" s="8">
        <f>SUMIFS(Deposit!$D$6:$D$205,Deposit!$C$6:$C$205,C8)</f>
        <v>100000.0</v>
      </c>
      <c r="E8" s="8">
        <f>SUMIFS(Transactions!$E$6:$E$205,Transactions!$D$6:$D$205,C8)</f>
        <v>0.0</v>
      </c>
      <c r="F8" s="8">
        <f>D8+E8</f>
        <v>100000.0</v>
      </c>
      <c r="G8" s="8">
        <f>IFERROR(VLOOKUP(C8,Interest!$D$6:$L$19,9,FALSE),0)</f>
        <v>6167.78</v>
      </c>
      <c r="H8" s="8">
        <f>F8+G8</f>
        <v>106167.78</v>
      </c>
      <c r="I8" s="21"/>
      <c r="J8" s="21"/>
      <c r="K8" s="21"/>
      <c r="L8" s="21"/>
      <c r="M8" s="21"/>
    </row>
    <row r="9">
      <c r="A9" t="inlineStr" s="7">
        <is>
          <t xml:space="preserve">Maya</t>
        </is>
      </c>
      <c r="B9" t="inlineStr" s="7">
        <is>
          <t xml:space="preserve">Personal Goal</t>
        </is>
      </c>
      <c r="C9" t="inlineStr" s="7">
        <is>
          <t xml:space="preserve">Maya - Personal Goal</t>
        </is>
      </c>
      <c r="D9" s="8">
        <f>SUMIFS(Deposit!$D$6:$D$205,Deposit!$C$6:$C$205,C9)</f>
        <v>25000.0</v>
      </c>
      <c r="E9" s="8">
        <f>SUMIFS(Transactions!$E$6:$E$205,Transactions!$D$6:$D$205,C9)</f>
        <v>0.0</v>
      </c>
      <c r="F9" s="8">
        <f>D9+E9</f>
        <v>25000.0</v>
      </c>
      <c r="G9" s="8">
        <f>IFERROR(VLOOKUP(C9,Interest!$D$6:$L$19,9,FALSE),0)</f>
        <v>1436.5</v>
      </c>
      <c r="H9" s="8">
        <f>F9+G9</f>
        <v>26436.5</v>
      </c>
      <c r="I9" s="21"/>
      <c r="J9" s="21"/>
      <c r="K9" s="21"/>
      <c r="L9" s="21"/>
      <c r="M9" s="21"/>
    </row>
    <row r="10">
      <c r="A10" t="inlineStr" s="7">
        <is>
          <t xml:space="preserve">UNO</t>
        </is>
      </c>
      <c r="B10" t="inlineStr" s="7">
        <is>
          <t xml:space="preserve">Digi Savings</t>
        </is>
      </c>
      <c r="C10" t="inlineStr" s="7">
        <is>
          <t xml:space="preserve">UNO - Digi Savings</t>
        </is>
      </c>
      <c r="D10" s="8">
        <f>SUMIFS(Deposit!$D$6:$D$205,Deposit!$C$6:$C$205,C10)</f>
        <v>20000.0</v>
      </c>
      <c r="E10" s="8">
        <f>SUMIFS(Transactions!$E$6:$E$205,Transactions!$D$6:$D$205,C10)</f>
        <v>5000.0</v>
      </c>
      <c r="F10" s="8">
        <f>D10+E10</f>
        <v>25000.0</v>
      </c>
      <c r="G10" s="8">
        <f>IFERROR(VLOOKUP(C10,Interest!$D$6:$L$19,9,FALSE),0)</f>
        <v>890.45</v>
      </c>
      <c r="H10" s="8">
        <f>F10+G10</f>
        <v>25890.45</v>
      </c>
      <c r="I10" s="21"/>
      <c r="J10" s="21"/>
      <c r="K10" s="21"/>
      <c r="L10" s="21"/>
      <c r="M10" s="21"/>
    </row>
    <row r="11">
      <c r="A11" t="inlineStr" s="7">
        <is>
          <t xml:space="preserve">UNO</t>
        </is>
      </c>
      <c r="B11" t="inlineStr" s="7">
        <is>
          <t xml:space="preserve">Time Deposit 1</t>
        </is>
      </c>
      <c r="C11" t="inlineStr" s="7">
        <is>
          <t xml:space="preserve">UNO - Time Deposit 1</t>
        </is>
      </c>
      <c r="D11" s="8">
        <f>SUMIFS(Deposit!$D$6:$D$205,Deposit!$C$6:$C$205,C11)</f>
        <v>50000.0</v>
      </c>
      <c r="E11" s="8">
        <f>SUMIFS(Transactions!$E$6:$E$205,Transactions!$D$6:$D$205,C11)</f>
        <v>0.0</v>
      </c>
      <c r="F11" s="8">
        <f>D11+E11</f>
        <v>50000.0</v>
      </c>
      <c r="G11" s="8">
        <f>IFERROR(VLOOKUP(C11,Interest!$D$6:$L$19,9,FALSE),0)</f>
        <v>3083.89</v>
      </c>
      <c r="H11" s="8">
        <f>F11+G11</f>
        <v>53083.89</v>
      </c>
      <c r="I11" s="21"/>
      <c r="J11" s="21"/>
      <c r="K11" s="21"/>
      <c r="L11" s="21"/>
      <c r="M11" s="21"/>
    </row>
    <row r="12">
      <c r="A12" t="inlineStr" s="7">
        <is>
          <t xml:space="preserve">UNO</t>
        </is>
      </c>
      <c r="B12" t="inlineStr" s="7">
        <is>
          <t xml:space="preserve">Time Deposit 2</t>
        </is>
      </c>
      <c r="C12" t="inlineStr" s="7">
        <is>
          <t xml:space="preserve">UNO - Time Deposit 2</t>
        </is>
      </c>
      <c r="D12" s="8">
        <f>SUMIFS(Deposit!$D$6:$D$205,Deposit!$C$6:$C$205,C12)</f>
        <v>50000.0</v>
      </c>
      <c r="E12" s="8">
        <f>SUMIFS(Transactions!$E$6:$E$205,Transactions!$D$6:$D$205,C12)</f>
        <v>0.0</v>
      </c>
      <c r="F12" s="8">
        <f>D12+E12</f>
        <v>50000.0</v>
      </c>
      <c r="G12" s="8">
        <f>IFERROR(VLOOKUP(C12,Interest!$D$6:$L$19,9,FALSE),0)</f>
        <v>3083.89</v>
      </c>
      <c r="H12" s="8">
        <f>F12+G12</f>
        <v>53083.89</v>
      </c>
      <c r="I12" s="21"/>
      <c r="J12" s="21"/>
      <c r="K12" s="21"/>
      <c r="L12" s="21"/>
      <c r="M12" s="21"/>
    </row>
    <row r="13">
      <c r="A13" t="inlineStr" s="7">
        <is>
          <t xml:space="preserve">Tonik</t>
        </is>
      </c>
      <c r="B13" t="inlineStr" s="7">
        <is>
          <t xml:space="preserve">Stash 1</t>
        </is>
      </c>
      <c r="C13" t="inlineStr" s="7">
        <is>
          <t xml:space="preserve">Tonik - Stash 1</t>
        </is>
      </c>
      <c r="D13" s="8">
        <f>SUMIFS(Deposit!$D$6:$D$205,Deposit!$C$6:$C$205,C13)</f>
        <v>10000.0</v>
      </c>
      <c r="E13" s="8">
        <f>SUMIFS(Transactions!$E$6:$E$205,Transactions!$D$6:$D$205,C13)</f>
        <v>0.0</v>
      </c>
      <c r="F13" s="8">
        <f>D13+E13</f>
        <v>10000.0</v>
      </c>
      <c r="G13" s="8">
        <f>IFERROR(VLOOKUP(C13,Interest!$D$6:$L$19,9,FALSE),0)</f>
        <v>407.42</v>
      </c>
      <c r="H13" s="8">
        <f>F13+G13</f>
        <v>10407.42</v>
      </c>
      <c r="I13" s="21"/>
      <c r="J13" s="21"/>
      <c r="K13" s="21"/>
      <c r="L13" s="21"/>
      <c r="M13" s="21"/>
    </row>
    <row r="14">
      <c r="A14" t="inlineStr" s="7">
        <is>
          <t xml:space="preserve">Tonik</t>
        </is>
      </c>
      <c r="B14" t="inlineStr" s="7">
        <is>
          <t xml:space="preserve">Stash 2</t>
        </is>
      </c>
      <c r="C14" t="inlineStr" s="7">
        <is>
          <t xml:space="preserve">Tonik - Stash 2</t>
        </is>
      </c>
      <c r="D14" s="8">
        <f>SUMIFS(Deposit!$D$6:$D$205,Deposit!$C$6:$C$205,C14)</f>
        <v>10000.0</v>
      </c>
      <c r="E14" s="8">
        <f>SUMIFS(Transactions!$E$6:$E$205,Transactions!$D$6:$D$205,C14)</f>
        <v>0.0</v>
      </c>
      <c r="F14" s="8">
        <f>D14+E14</f>
        <v>10000.0</v>
      </c>
      <c r="G14" s="8">
        <f>IFERROR(VLOOKUP(C14,Interest!$D$6:$L$19,9,FALSE),0)</f>
        <v>407.42</v>
      </c>
      <c r="H14" s="8">
        <f>F14+G14</f>
        <v>10407.42</v>
      </c>
      <c r="I14" s="21"/>
      <c r="J14" s="21"/>
      <c r="K14" s="21"/>
      <c r="L14" s="21"/>
      <c r="M14" s="21"/>
    </row>
    <row r="15">
      <c r="A15" t="inlineStr" s="7">
        <is>
          <t xml:space="preserve">Tonik</t>
        </is>
      </c>
      <c r="B15" t="inlineStr" s="7">
        <is>
          <t xml:space="preserve">Time Deposit</t>
        </is>
      </c>
      <c r="C15" t="inlineStr" s="7">
        <is>
          <t xml:space="preserve">Tonik - Time Deposit</t>
        </is>
      </c>
      <c r="D15" s="8">
        <f>SUMIFS(Deposit!$D$6:$D$205,Deposit!$C$6:$C$205,C15)</f>
        <v>30000.0</v>
      </c>
      <c r="E15" s="8">
        <f>SUMIFS(Transactions!$E$6:$E$205,Transactions!$D$6:$D$205,C15)</f>
        <v>0.0</v>
      </c>
      <c r="F15" s="8">
        <f>D15+E15</f>
        <v>30000.0</v>
      </c>
      <c r="G15" s="8">
        <f>IFERROR(VLOOKUP(C15,Interest!$D$6:$L$19,9,FALSE),0)</f>
        <v>2489.99</v>
      </c>
      <c r="H15" s="8">
        <f>F15+G15</f>
        <v>32489.99</v>
      </c>
      <c r="I15" s="21"/>
      <c r="J15" s="21"/>
      <c r="K15" s="21"/>
      <c r="L15" s="21"/>
      <c r="M15" s="21"/>
    </row>
    <row r="16">
      <c r="A16" t="inlineStr" s="7">
        <is>
          <t xml:space="preserve">Banko</t>
        </is>
      </c>
      <c r="B16" t="inlineStr" s="7">
        <is>
          <t xml:space="preserve">Savings</t>
        </is>
      </c>
      <c r="C16" t="inlineStr" s="7">
        <is>
          <t xml:space="preserve">Banko - Savings</t>
        </is>
      </c>
      <c r="D16" s="8">
        <f>SUMIFS(Deposit!$D$6:$D$205,Deposit!$C$6:$C$205,C16)</f>
        <v>15000.0</v>
      </c>
      <c r="E16" s="8">
        <f>SUMIFS(Transactions!$E$6:$E$205,Transactions!$D$6:$D$205,C16)</f>
        <v>62.5</v>
      </c>
      <c r="F16" s="8">
        <f>D16+E16</f>
        <v>15062.5</v>
      </c>
      <c r="G16" s="8">
        <f>IFERROR(VLOOKUP(C16,Interest!$D$6:$L$19,9,FALSE),0)</f>
        <v>772.22</v>
      </c>
      <c r="H16" s="8">
        <f>F16+G16</f>
        <v>15834.72</v>
      </c>
      <c r="I16" s="21"/>
      <c r="J16" s="21"/>
      <c r="K16" s="21"/>
      <c r="L16" s="21"/>
      <c r="M16" s="21"/>
    </row>
    <row r="17">
      <c r="A17" t="inlineStr" s="7">
        <is>
          <t xml:space="preserve">CIMB</t>
        </is>
      </c>
      <c r="B17" t="inlineStr" s="7">
        <is>
          <t xml:space="preserve">Savings</t>
        </is>
      </c>
      <c r="C17" t="inlineStr" s="7">
        <is>
          <t xml:space="preserve">CIMB - Savings</t>
        </is>
      </c>
      <c r="D17" s="8">
        <f>SUMIFS(Deposit!$D$6:$D$205,Deposit!$C$6:$C$205,C17)</f>
        <v>10000.0</v>
      </c>
      <c r="E17" s="8">
        <f>SUMIFS(Transactions!$E$6:$E$205,Transactions!$D$6:$D$205,C17)</f>
        <v>0.0</v>
      </c>
      <c r="F17" s="8">
        <f>D17+E17</f>
        <v>10000.0</v>
      </c>
      <c r="G17" s="8">
        <f>IFERROR(VLOOKUP(C17,Interest!$D$6:$L$19,9,FALSE),0)</f>
        <v>232.66</v>
      </c>
      <c r="H17" s="8">
        <f>F17+G17</f>
        <v>10232.66</v>
      </c>
      <c r="I17" s="21"/>
      <c r="J17" s="21"/>
      <c r="K17" s="21"/>
      <c r="L17" s="21"/>
      <c r="M17" s="21"/>
    </row>
    <row r="18">
      <c r="A18" t="inlineStr" s="7">
        <is>
          <t xml:space="preserve">GoTyme</t>
        </is>
      </c>
      <c r="B18" t="inlineStr" s="7">
        <is>
          <t xml:space="preserve">GoSave</t>
        </is>
      </c>
      <c r="C18" t="inlineStr" s="7">
        <is>
          <t xml:space="preserve">GoTyme - GoSave</t>
        </is>
      </c>
      <c r="D18" s="8">
        <f>SUMIFS(Deposit!$D$6:$D$205,Deposit!$C$6:$C$205,C18)</f>
        <v>12000.0</v>
      </c>
      <c r="E18" s="8">
        <f>SUMIFS(Transactions!$E$6:$E$205,Transactions!$D$6:$D$205,C18)</f>
        <v>0.0</v>
      </c>
      <c r="F18" s="8">
        <f>D18+E18</f>
        <v>12000.0</v>
      </c>
      <c r="G18" s="8">
        <f>IFERROR(VLOOKUP(C18,Interest!$D$6:$L$19,9,FALSE),0)</f>
        <v>364.99</v>
      </c>
      <c r="H18" s="8">
        <f>F18+G18</f>
        <v>12364.99</v>
      </c>
      <c r="I18" s="21"/>
      <c r="J18" s="21"/>
      <c r="K18" s="21"/>
      <c r="L18" s="21"/>
      <c r="M18" s="21"/>
    </row>
    <row r="19">
      <c r="A19" t="inlineStr" s="7">
        <is>
          <t xml:space="preserve">Maribank</t>
        </is>
      </c>
      <c r="B19" t="inlineStr" s="7">
        <is>
          <t xml:space="preserve">Savings</t>
        </is>
      </c>
      <c r="C19" t="inlineStr" s="7">
        <is>
          <t xml:space="preserve">Maribank - Savings</t>
        </is>
      </c>
      <c r="D19" s="8">
        <f>SUMIFS(Deposit!$D$6:$D$205,Deposit!$C$6:$C$205,C19)</f>
        <v>8000.0</v>
      </c>
      <c r="E19" s="8">
        <f>SUMIFS(Transactions!$E$6:$E$205,Transactions!$D$6:$D$205,C19)</f>
        <v>0.0</v>
      </c>
      <c r="F19" s="8">
        <f>D19+E19</f>
        <v>8000.0</v>
      </c>
      <c r="G19" s="8">
        <f>IFERROR(VLOOKUP(C19,Interest!$D$6:$L$19,9,FALSE),0)</f>
        <v>264.26</v>
      </c>
      <c r="H19" s="8">
        <f>F19+G19</f>
        <v>8264.26</v>
      </c>
      <c r="I19" s="21"/>
      <c r="J19" s="21"/>
      <c r="K19" s="21"/>
      <c r="L19" s="21"/>
      <c r="M19" s="21"/>
    </row>
    <row r="20" ht="18" customHeight="1">
      <c r="A20" t="inlineStr" s="15">
        <is>
          <t xml:space="preserve">TOTAL</t>
        </is>
      </c>
      <c r="B20" s="15"/>
      <c r="C20" s="15"/>
      <c r="D20" s="16">
        <f>SUM(D6:D19)</f>
        <v>490000.0</v>
      </c>
      <c r="E20" s="16">
        <f>SUM(E6:E19)</f>
        <v>3062.5</v>
      </c>
      <c r="F20" s="16">
        <f>SUM(F6:F19)</f>
        <v>493062.5</v>
      </c>
      <c r="G20" s="16">
        <f>SUM(G6:G19)</f>
        <v>30816.71</v>
      </c>
      <c r="H20" s="16">
        <f>SUM(H6:H19)</f>
        <v>523879.21</v>
      </c>
      <c r="I20" s="16"/>
      <c r="J20" s="16"/>
      <c r="K20" s="16"/>
      <c r="L20" s="16"/>
      <c r="M20" s="16"/>
    </row>
  </sheetData>
  <mergeCells count="8">
    <mergeCell ref="A1:M1"/>
    <mergeCell ref="A2:B2"/>
    <mergeCell ref="C2:D2"/>
    <mergeCell ref="E2:F2"/>
    <mergeCell ref="G2:H2"/>
    <mergeCell ref="I2:J2"/>
    <mergeCell ref="A3:M3"/>
    <mergeCell ref="A4:M4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1" customWidth="1"/>
    <col min="2" max="2" width="15" customWidth="1"/>
    <col min="3" max="3" width="13" customWidth="1"/>
    <col min="4" max="4" width="24" customWidth="1"/>
    <col min="5" max="5" width="11" customWidth="1"/>
    <col min="6" max="6" width="11" customWidth="1"/>
    <col min="7" max="7" width="16" customWidth="1"/>
    <col min="8" max="8" width="12" customWidth="1"/>
    <col min="9" max="9" width="16" customWidth="1"/>
    <col min="10" max="10" width="11" customWidth="1"/>
    <col min="11" max="11" width="18" customWidth="1"/>
    <col min="12" max="12" width="16" customWidth="1"/>
    <col min="13" max="13" width="13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2">
        <is>
          <t xml:space="preserve">➕ Deposit</t>
        </is>
      </c>
      <c r="D2" s="2"/>
      <c r="E2" t="inlineStr" s="2">
        <is>
          <t xml:space="preserve">🔄 Transactions</t>
        </is>
      </c>
      <c r="F2" s="2"/>
      <c r="G2" t="inlineStr" s="2">
        <is>
          <t xml:space="preserve">💼 Balance</t>
        </is>
      </c>
      <c r="H2" s="2"/>
      <c r="I2" t="inlineStr" s="3">
        <is>
          <t xml:space="preserve">📈 Interest</t>
        </is>
      </c>
      <c r="J2" s="3"/>
      <c r="K2" s="2"/>
      <c r="L2" s="2"/>
      <c r="M2" s="2"/>
    </row>
    <row r="3" ht="22" customHeight="1">
      <c r="A3" t="inlineStr" s="5">
        <is>
          <t xml:space="preserve">Interest rates &amp; auto-calculated earnings. Daily accounts compound daily (rate/365); monthly accounts compound monthly (rate/12). Maya Savings overridden to 10%.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📈 Interest Rates &amp; Earnings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30" customHeight="1">
      <c r="A5" t="inlineStr" s="6">
        <is>
          <t xml:space="preserve">Bank</t>
        </is>
      </c>
      <c r="B5" t="inlineStr" s="6">
        <is>
          <t xml:space="preserve">Account</t>
        </is>
      </c>
      <c r="C5" t="inlineStr" s="6">
        <is>
          <t xml:space="preserve">Account Type</t>
        </is>
      </c>
      <c r="D5" t="inlineStr" s="6">
        <is>
          <t xml:space="preserve">Account Label</t>
        </is>
      </c>
      <c r="E5" t="inlineStr" s="6">
        <is>
          <t xml:space="preserve">Annual Rate</t>
        </is>
      </c>
      <c r="F5" t="inlineStr" s="6">
        <is>
          <t xml:space="preserve">Frequency</t>
        </is>
      </c>
      <c r="G5" t="inlineStr" s="6">
        <is>
          <t xml:space="preserve">Current Balance</t>
        </is>
      </c>
      <c r="H5" t="inlineStr" s="6">
        <is>
          <t xml:space="preserve">Periodic Rate</t>
        </is>
      </c>
      <c r="I5" t="inlineStr" s="6">
        <is>
          <t xml:space="preserve">Interest / Period</t>
        </is>
      </c>
      <c r="J5" t="inlineStr" s="6">
        <is>
          <t xml:space="preserve">Periods / Yr</t>
        </is>
      </c>
      <c r="K5" t="inlineStr" s="6">
        <is>
          <t xml:space="preserve">Proj. Balance (1 Yr)</t>
        </is>
      </c>
      <c r="L5" t="inlineStr" s="6">
        <is>
          <t xml:space="preserve">Interest (1 Yr)</t>
        </is>
      </c>
      <c r="M5" t="inlineStr" s="6">
        <is>
          <t xml:space="preserve">Monthly Factor</t>
        </is>
      </c>
    </row>
    <row r="6">
      <c r="A6" t="inlineStr" s="7">
        <is>
          <t xml:space="preserve">Maya</t>
        </is>
      </c>
      <c r="B6" t="inlineStr" s="7">
        <is>
          <t xml:space="preserve">Savings</t>
        </is>
      </c>
      <c r="C6" t="inlineStr" s="7">
        <is>
          <t xml:space="preserve">Savings</t>
        </is>
      </c>
      <c r="D6" t="inlineStr" s="7">
        <is>
          <t xml:space="preserve">Maya - Savings</t>
        </is>
      </c>
      <c r="E6" s="9">
        <v>0.1</v>
      </c>
      <c r="F6" t="inlineStr" s="18">
        <is>
          <t xml:space="preserve">Daily</t>
        </is>
      </c>
      <c r="G6" s="8">
        <f>IFERROR(VLOOKUP(D6,Balance!$C$6:$H$19,4,FALSE),0)</f>
        <v>48000.0</v>
      </c>
      <c r="H6" s="9">
        <f>IF(F6="Daily",E6/365,E6/12)</f>
        <v>0.00027397</v>
      </c>
      <c r="I6" s="8">
        <f>G6*H6</f>
        <v>13.15</v>
      </c>
      <c r="J6" s="10">
        <f>IF(F6="Daily",365,12)</f>
        <v>365</v>
      </c>
      <c r="K6" s="8">
        <f>G6*(1+H6)^J6</f>
        <v>53047.48</v>
      </c>
      <c r="L6" s="8">
        <f>K6-G6</f>
        <v>5047.48</v>
      </c>
      <c r="M6" s="9">
        <f>IF(F6="Daily",(1+E6/365)^(365/12),1+E6/12)</f>
        <v>1.008367</v>
      </c>
    </row>
    <row r="7">
      <c r="A7" t="inlineStr" s="7">
        <is>
          <t xml:space="preserve">Maya</t>
        </is>
      </c>
      <c r="B7" t="inlineStr" s="7">
        <is>
          <t xml:space="preserve">Time Deposit 1</t>
        </is>
      </c>
      <c r="C7" t="inlineStr" s="7">
        <is>
          <t xml:space="preserve">Time Deposit</t>
        </is>
      </c>
      <c r="D7" t="inlineStr" s="7">
        <is>
          <t xml:space="preserve">Maya - Time Deposit 1</t>
        </is>
      </c>
      <c r="E7" s="9">
        <v>0.06</v>
      </c>
      <c r="F7" t="inlineStr" s="18">
        <is>
          <t xml:space="preserve">Monthly</t>
        </is>
      </c>
      <c r="G7" s="8">
        <f>IFERROR(VLOOKUP(D7,Balance!$C$6:$H$19,4,FALSE),0)</f>
        <v>100000.0</v>
      </c>
      <c r="H7" s="9">
        <f>IF(F7="Daily",E7/365,E7/12)</f>
        <v>0.005</v>
      </c>
      <c r="I7" s="8">
        <f>G7*H7</f>
        <v>500.0</v>
      </c>
      <c r="J7" s="10">
        <f>IF(F7="Daily",365,12)</f>
        <v>12</v>
      </c>
      <c r="K7" s="8">
        <f>G7*(1+H7)^J7</f>
        <v>106167.78</v>
      </c>
      <c r="L7" s="8">
        <f>K7-G7</f>
        <v>6167.78</v>
      </c>
      <c r="M7" s="9">
        <f>IF(F7="Daily",(1+E7/365)^(365/12),1+E7/12)</f>
        <v>1.005</v>
      </c>
    </row>
    <row r="8">
      <c r="A8" t="inlineStr" s="7">
        <is>
          <t xml:space="preserve">Maya</t>
        </is>
      </c>
      <c r="B8" t="inlineStr" s="7">
        <is>
          <t xml:space="preserve">Time Deposit 2</t>
        </is>
      </c>
      <c r="C8" t="inlineStr" s="7">
        <is>
          <t xml:space="preserve">Time Deposit</t>
        </is>
      </c>
      <c r="D8" t="inlineStr" s="7">
        <is>
          <t xml:space="preserve">Maya - Time Deposit 2</t>
        </is>
      </c>
      <c r="E8" s="9">
        <v>0.06</v>
      </c>
      <c r="F8" t="inlineStr" s="18">
        <is>
          <t xml:space="preserve">Monthly</t>
        </is>
      </c>
      <c r="G8" s="8">
        <f>IFERROR(VLOOKUP(D8,Balance!$C$6:$H$19,4,FALSE),0)</f>
        <v>100000.0</v>
      </c>
      <c r="H8" s="9">
        <f>IF(F8="Daily",E8/365,E8/12)</f>
        <v>0.005</v>
      </c>
      <c r="I8" s="8">
        <f>G8*H8</f>
        <v>500.0</v>
      </c>
      <c r="J8" s="10">
        <f>IF(F8="Daily",365,12)</f>
        <v>12</v>
      </c>
      <c r="K8" s="8">
        <f>G8*(1+H8)^J8</f>
        <v>106167.78</v>
      </c>
      <c r="L8" s="8">
        <f>K8-G8</f>
        <v>6167.78</v>
      </c>
      <c r="M8" s="9">
        <f>IF(F8="Daily",(1+E8/365)^(365/12),1+E8/12)</f>
        <v>1.005</v>
      </c>
    </row>
    <row r="9">
      <c r="A9" t="inlineStr" s="7">
        <is>
          <t xml:space="preserve">Maya</t>
        </is>
      </c>
      <c r="B9" t="inlineStr" s="7">
        <is>
          <t xml:space="preserve">Personal Goal</t>
        </is>
      </c>
      <c r="C9" t="inlineStr" s="7">
        <is>
          <t xml:space="preserve">Goal</t>
        </is>
      </c>
      <c r="D9" t="inlineStr" s="7">
        <is>
          <t xml:space="preserve">Maya - Personal Goal</t>
        </is>
      </c>
      <c r="E9" s="9">
        <v>0.056</v>
      </c>
      <c r="F9" t="inlineStr" s="18">
        <is>
          <t xml:space="preserve">Monthly</t>
        </is>
      </c>
      <c r="G9" s="8">
        <f>IFERROR(VLOOKUP(D9,Balance!$C$6:$H$19,4,FALSE),0)</f>
        <v>25000.0</v>
      </c>
      <c r="H9" s="9">
        <f>IF(F9="Daily",E9/365,E9/12)</f>
        <v>0.00466667</v>
      </c>
      <c r="I9" s="8">
        <f>G9*H9</f>
        <v>116.67</v>
      </c>
      <c r="J9" s="10">
        <f>IF(F9="Daily",365,12)</f>
        <v>12</v>
      </c>
      <c r="K9" s="8">
        <f>G9*(1+H9)^J9</f>
        <v>26436.5</v>
      </c>
      <c r="L9" s="8">
        <f>K9-G9</f>
        <v>1436.5</v>
      </c>
      <c r="M9" s="9">
        <f>IF(F9="Daily",(1+E9/365)^(365/12),1+E9/12)</f>
        <v>1.00466667</v>
      </c>
    </row>
    <row r="10">
      <c r="A10" t="inlineStr" s="7">
        <is>
          <t xml:space="preserve">UNO</t>
        </is>
      </c>
      <c r="B10" t="inlineStr" s="7">
        <is>
          <t xml:space="preserve">Digi Savings</t>
        </is>
      </c>
      <c r="C10" t="inlineStr" s="7">
        <is>
          <t xml:space="preserve">Savings</t>
        </is>
      </c>
      <c r="D10" t="inlineStr" s="7">
        <is>
          <t xml:space="preserve">UNO - Digi Savings</t>
        </is>
      </c>
      <c r="E10" s="9">
        <v>0.035</v>
      </c>
      <c r="F10" t="inlineStr" s="18">
        <is>
          <t xml:space="preserve">Daily</t>
        </is>
      </c>
      <c r="G10" s="8">
        <f>IFERROR(VLOOKUP(D10,Balance!$C$6:$H$19,4,FALSE),0)</f>
        <v>25000.0</v>
      </c>
      <c r="H10" s="9">
        <f>IF(F10="Daily",E10/365,E10/12)</f>
        <v>9.589e-05</v>
      </c>
      <c r="I10" s="8">
        <f>G10*H10</f>
        <v>2.4</v>
      </c>
      <c r="J10" s="10">
        <f>IF(F10="Daily",365,12)</f>
        <v>365</v>
      </c>
      <c r="K10" s="8">
        <f>G10*(1+H10)^J10</f>
        <v>25890.45</v>
      </c>
      <c r="L10" s="8">
        <f>K10-G10</f>
        <v>890.45</v>
      </c>
      <c r="M10" s="9">
        <f>IF(F10="Daily",(1+E10/365)^(365/12),1+E10/12)</f>
        <v>1.00292078</v>
      </c>
    </row>
    <row r="11">
      <c r="A11" t="inlineStr" s="7">
        <is>
          <t xml:space="preserve">UNO</t>
        </is>
      </c>
      <c r="B11" t="inlineStr" s="7">
        <is>
          <t xml:space="preserve">Time Deposit 1</t>
        </is>
      </c>
      <c r="C11" t="inlineStr" s="7">
        <is>
          <t xml:space="preserve">Time Deposit</t>
        </is>
      </c>
      <c r="D11" t="inlineStr" s="7">
        <is>
          <t xml:space="preserve">UNO - Time Deposit 1</t>
        </is>
      </c>
      <c r="E11" s="9">
        <v>0.06</v>
      </c>
      <c r="F11" t="inlineStr" s="18">
        <is>
          <t xml:space="preserve">Monthly</t>
        </is>
      </c>
      <c r="G11" s="8">
        <f>IFERROR(VLOOKUP(D11,Balance!$C$6:$H$19,4,FALSE),0)</f>
        <v>50000.0</v>
      </c>
      <c r="H11" s="9">
        <f>IF(F11="Daily",E11/365,E11/12)</f>
        <v>0.005</v>
      </c>
      <c r="I11" s="8">
        <f>G11*H11</f>
        <v>250.0</v>
      </c>
      <c r="J11" s="10">
        <f>IF(F11="Daily",365,12)</f>
        <v>12</v>
      </c>
      <c r="K11" s="8">
        <f>G11*(1+H11)^J11</f>
        <v>53083.89</v>
      </c>
      <c r="L11" s="8">
        <f>K11-G11</f>
        <v>3083.89</v>
      </c>
      <c r="M11" s="9">
        <f>IF(F11="Daily",(1+E11/365)^(365/12),1+E11/12)</f>
        <v>1.005</v>
      </c>
    </row>
    <row r="12">
      <c r="A12" t="inlineStr" s="7">
        <is>
          <t xml:space="preserve">UNO</t>
        </is>
      </c>
      <c r="B12" t="inlineStr" s="7">
        <is>
          <t xml:space="preserve">Time Deposit 2</t>
        </is>
      </c>
      <c r="C12" t="inlineStr" s="7">
        <is>
          <t xml:space="preserve">Time Deposit</t>
        </is>
      </c>
      <c r="D12" t="inlineStr" s="7">
        <is>
          <t xml:space="preserve">UNO - Time Deposit 2</t>
        </is>
      </c>
      <c r="E12" s="9">
        <v>0.06</v>
      </c>
      <c r="F12" t="inlineStr" s="18">
        <is>
          <t xml:space="preserve">Monthly</t>
        </is>
      </c>
      <c r="G12" s="8">
        <f>IFERROR(VLOOKUP(D12,Balance!$C$6:$H$19,4,FALSE),0)</f>
        <v>50000.0</v>
      </c>
      <c r="H12" s="9">
        <f>IF(F12="Daily",E12/365,E12/12)</f>
        <v>0.005</v>
      </c>
      <c r="I12" s="8">
        <f>G12*H12</f>
        <v>250.0</v>
      </c>
      <c r="J12" s="10">
        <f>IF(F12="Daily",365,12)</f>
        <v>12</v>
      </c>
      <c r="K12" s="8">
        <f>G12*(1+H12)^J12</f>
        <v>53083.89</v>
      </c>
      <c r="L12" s="8">
        <f>K12-G12</f>
        <v>3083.89</v>
      </c>
      <c r="M12" s="9">
        <f>IF(F12="Daily",(1+E12/365)^(365/12),1+E12/12)</f>
        <v>1.005</v>
      </c>
    </row>
    <row r="13">
      <c r="A13" t="inlineStr" s="7">
        <is>
          <t xml:space="preserve">Tonik</t>
        </is>
      </c>
      <c r="B13" t="inlineStr" s="7">
        <is>
          <t xml:space="preserve">Stash 1</t>
        </is>
      </c>
      <c r="C13" t="inlineStr" s="7">
        <is>
          <t xml:space="preserve">Savings</t>
        </is>
      </c>
      <c r="D13" t="inlineStr" s="7">
        <is>
          <t xml:space="preserve">Tonik - Stash 1</t>
        </is>
      </c>
      <c r="E13" s="9">
        <v>0.04</v>
      </c>
      <c r="F13" t="inlineStr" s="18">
        <is>
          <t xml:space="preserve">Monthly</t>
        </is>
      </c>
      <c r="G13" s="8">
        <f>IFERROR(VLOOKUP(D13,Balance!$C$6:$H$19,4,FALSE),0)</f>
        <v>10000.0</v>
      </c>
      <c r="H13" s="9">
        <f>IF(F13="Daily",E13/365,E13/12)</f>
        <v>0.00333333</v>
      </c>
      <c r="I13" s="8">
        <f>G13*H13</f>
        <v>33.33</v>
      </c>
      <c r="J13" s="10">
        <f>IF(F13="Daily",365,12)</f>
        <v>12</v>
      </c>
      <c r="K13" s="8">
        <f>G13*(1+H13)^J13</f>
        <v>10407.42</v>
      </c>
      <c r="L13" s="8">
        <f>K13-G13</f>
        <v>407.42</v>
      </c>
      <c r="M13" s="9">
        <f>IF(F13="Daily",(1+E13/365)^(365/12),1+E13/12)</f>
        <v>1.00333333</v>
      </c>
    </row>
    <row r="14">
      <c r="A14" t="inlineStr" s="7">
        <is>
          <t xml:space="preserve">Tonik</t>
        </is>
      </c>
      <c r="B14" t="inlineStr" s="7">
        <is>
          <t xml:space="preserve">Stash 2</t>
        </is>
      </c>
      <c r="C14" t="inlineStr" s="7">
        <is>
          <t xml:space="preserve">Savings</t>
        </is>
      </c>
      <c r="D14" t="inlineStr" s="7">
        <is>
          <t xml:space="preserve">Tonik - Stash 2</t>
        </is>
      </c>
      <c r="E14" s="9">
        <v>0.04</v>
      </c>
      <c r="F14" t="inlineStr" s="18">
        <is>
          <t xml:space="preserve">Monthly</t>
        </is>
      </c>
      <c r="G14" s="8">
        <f>IFERROR(VLOOKUP(D14,Balance!$C$6:$H$19,4,FALSE),0)</f>
        <v>10000.0</v>
      </c>
      <c r="H14" s="9">
        <f>IF(F14="Daily",E14/365,E14/12)</f>
        <v>0.00333333</v>
      </c>
      <c r="I14" s="8">
        <f>G14*H14</f>
        <v>33.33</v>
      </c>
      <c r="J14" s="10">
        <f>IF(F14="Daily",365,12)</f>
        <v>12</v>
      </c>
      <c r="K14" s="8">
        <f>G14*(1+H14)^J14</f>
        <v>10407.42</v>
      </c>
      <c r="L14" s="8">
        <f>K14-G14</f>
        <v>407.42</v>
      </c>
      <c r="M14" s="9">
        <f>IF(F14="Daily",(1+E14/365)^(365/12),1+E14/12)</f>
        <v>1.00333333</v>
      </c>
    </row>
    <row r="15">
      <c r="A15" t="inlineStr" s="7">
        <is>
          <t xml:space="preserve">Tonik</t>
        </is>
      </c>
      <c r="B15" t="inlineStr" s="7">
        <is>
          <t xml:space="preserve">Time Deposit</t>
        </is>
      </c>
      <c r="C15" t="inlineStr" s="7">
        <is>
          <t xml:space="preserve">Time Deposit</t>
        </is>
      </c>
      <c r="D15" t="inlineStr" s="7">
        <is>
          <t xml:space="preserve">Tonik - Time Deposit</t>
        </is>
      </c>
      <c r="E15" s="9">
        <v>0.08</v>
      </c>
      <c r="F15" t="inlineStr" s="18">
        <is>
          <t xml:space="preserve">Monthly</t>
        </is>
      </c>
      <c r="G15" s="8">
        <f>IFERROR(VLOOKUP(D15,Balance!$C$6:$H$19,4,FALSE),0)</f>
        <v>30000.0</v>
      </c>
      <c r="H15" s="9">
        <f>IF(F15="Daily",E15/365,E15/12)</f>
        <v>0.00666667</v>
      </c>
      <c r="I15" s="8">
        <f>G15*H15</f>
        <v>200.0</v>
      </c>
      <c r="J15" s="10">
        <f>IF(F15="Daily",365,12)</f>
        <v>12</v>
      </c>
      <c r="K15" s="8">
        <f>G15*(1+H15)^J15</f>
        <v>32489.99</v>
      </c>
      <c r="L15" s="8">
        <f>K15-G15</f>
        <v>2489.99</v>
      </c>
      <c r="M15" s="9">
        <f>IF(F15="Daily",(1+E15/365)^(365/12),1+E15/12)</f>
        <v>1.00666667</v>
      </c>
    </row>
    <row r="16">
      <c r="A16" t="inlineStr" s="7">
        <is>
          <t xml:space="preserve">Banko</t>
        </is>
      </c>
      <c r="B16" t="inlineStr" s="7">
        <is>
          <t xml:space="preserve">Savings</t>
        </is>
      </c>
      <c r="C16" t="inlineStr" s="7">
        <is>
          <t xml:space="preserve">Savings</t>
        </is>
      </c>
      <c r="D16" t="inlineStr" s="7">
        <is>
          <t xml:space="preserve">Banko - Savings</t>
        </is>
      </c>
      <c r="E16" s="9">
        <v>0.05</v>
      </c>
      <c r="F16" t="inlineStr" s="18">
        <is>
          <t xml:space="preserve">Daily</t>
        </is>
      </c>
      <c r="G16" s="8">
        <f>IFERROR(VLOOKUP(D16,Balance!$C$6:$H$19,4,FALSE),0)</f>
        <v>15062.5</v>
      </c>
      <c r="H16" s="9">
        <f>IF(F16="Daily",E16/365,E16/12)</f>
        <v>0.00013699</v>
      </c>
      <c r="I16" s="8">
        <f>G16*H16</f>
        <v>2.06</v>
      </c>
      <c r="J16" s="10">
        <f>IF(F16="Daily",365,12)</f>
        <v>365</v>
      </c>
      <c r="K16" s="8">
        <f>G16*(1+H16)^J16</f>
        <v>15834.72</v>
      </c>
      <c r="L16" s="8">
        <f>K16-G16</f>
        <v>772.22</v>
      </c>
      <c r="M16" s="9">
        <f>IF(F16="Daily",(1+E16/365)^(365/12),1+E16/12)</f>
        <v>1.00417507</v>
      </c>
    </row>
    <row r="17">
      <c r="A17" t="inlineStr" s="7">
        <is>
          <t xml:space="preserve">CIMB</t>
        </is>
      </c>
      <c r="B17" t="inlineStr" s="7">
        <is>
          <t xml:space="preserve">Savings</t>
        </is>
      </c>
      <c r="C17" t="inlineStr" s="7">
        <is>
          <t xml:space="preserve">Savings</t>
        </is>
      </c>
      <c r="D17" t="inlineStr" s="7">
        <is>
          <t xml:space="preserve">CIMB - Savings</t>
        </is>
      </c>
      <c r="E17" s="9">
        <v>0.023</v>
      </c>
      <c r="F17" t="inlineStr" s="18">
        <is>
          <t xml:space="preserve">Daily</t>
        </is>
      </c>
      <c r="G17" s="8">
        <f>IFERROR(VLOOKUP(D17,Balance!$C$6:$H$19,4,FALSE),0)</f>
        <v>10000.0</v>
      </c>
      <c r="H17" s="9">
        <f>IF(F17="Daily",E17/365,E17/12)</f>
        <v>6.301e-05</v>
      </c>
      <c r="I17" s="8">
        <f>G17*H17</f>
        <v>0.63</v>
      </c>
      <c r="J17" s="10">
        <f>IF(F17="Daily",365,12)</f>
        <v>365</v>
      </c>
      <c r="K17" s="8">
        <f>G17*(1+H17)^J17</f>
        <v>10232.66</v>
      </c>
      <c r="L17" s="8">
        <f>K17-G17</f>
        <v>232.66</v>
      </c>
      <c r="M17" s="9">
        <f>IF(F17="Daily",(1+E17/365)^(365/12),1+E17/12)</f>
        <v>1.00191844</v>
      </c>
    </row>
    <row r="18">
      <c r="A18" t="inlineStr" s="7">
        <is>
          <t xml:space="preserve">GoTyme</t>
        </is>
      </c>
      <c r="B18" t="inlineStr" s="7">
        <is>
          <t xml:space="preserve">GoSave</t>
        </is>
      </c>
      <c r="C18" t="inlineStr" s="7">
        <is>
          <t xml:space="preserve">Savings</t>
        </is>
      </c>
      <c r="D18" t="inlineStr" s="7">
        <is>
          <t xml:space="preserve">GoTyme - GoSave</t>
        </is>
      </c>
      <c r="E18" s="9">
        <v>0.03</v>
      </c>
      <c r="F18" t="inlineStr" s="18">
        <is>
          <t xml:space="preserve">Monthly</t>
        </is>
      </c>
      <c r="G18" s="8">
        <f>IFERROR(VLOOKUP(D18,Balance!$C$6:$H$19,4,FALSE),0)</f>
        <v>12000.0</v>
      </c>
      <c r="H18" s="9">
        <f>IF(F18="Daily",E18/365,E18/12)</f>
        <v>0.0025</v>
      </c>
      <c r="I18" s="8">
        <f>G18*H18</f>
        <v>30.0</v>
      </c>
      <c r="J18" s="10">
        <f>IF(F18="Daily",365,12)</f>
        <v>12</v>
      </c>
      <c r="K18" s="8">
        <f>G18*(1+H18)^J18</f>
        <v>12364.99</v>
      </c>
      <c r="L18" s="8">
        <f>K18-G18</f>
        <v>364.99</v>
      </c>
      <c r="M18" s="9">
        <f>IF(F18="Daily",(1+E18/365)^(365/12),1+E18/12)</f>
        <v>1.0025</v>
      </c>
    </row>
    <row r="19">
      <c r="A19" t="inlineStr" s="7">
        <is>
          <t xml:space="preserve">Maribank</t>
        </is>
      </c>
      <c r="B19" t="inlineStr" s="7">
        <is>
          <t xml:space="preserve">Savings</t>
        </is>
      </c>
      <c r="C19" t="inlineStr" s="7">
        <is>
          <t xml:space="preserve">Savings</t>
        </is>
      </c>
      <c r="D19" t="inlineStr" s="7">
        <is>
          <t xml:space="preserve">Maribank - Savings</t>
        </is>
      </c>
      <c r="E19" s="9">
        <v>0.0325</v>
      </c>
      <c r="F19" t="inlineStr" s="18">
        <is>
          <t xml:space="preserve">Daily</t>
        </is>
      </c>
      <c r="G19" s="8">
        <f>IFERROR(VLOOKUP(D19,Balance!$C$6:$H$19,4,FALSE),0)</f>
        <v>8000.0</v>
      </c>
      <c r="H19" s="9">
        <f>IF(F19="Daily",E19/365,E19/12)</f>
        <v>8.904e-05</v>
      </c>
      <c r="I19" s="8">
        <f>G19*H19</f>
        <v>0.71</v>
      </c>
      <c r="J19" s="10">
        <f>IF(F19="Daily",365,12)</f>
        <v>365</v>
      </c>
      <c r="K19" s="8">
        <f>G19*(1+H19)^J19</f>
        <v>8264.26</v>
      </c>
      <c r="L19" s="8">
        <f>K19-G19</f>
        <v>264.26</v>
      </c>
      <c r="M19" s="9">
        <f>IF(F19="Daily",(1+E19/365)^(365/12),1+E19/12)</f>
        <v>1.00271188</v>
      </c>
    </row>
    <row r="20" ht="18" customHeight="1">
      <c r="A20" t="inlineStr" s="15">
        <is>
          <t xml:space="preserve">TOTAL</t>
        </is>
      </c>
      <c r="B20" s="15"/>
      <c r="C20" s="15"/>
      <c r="D20" s="15"/>
      <c r="E20" s="15"/>
      <c r="F20" s="15"/>
      <c r="G20" s="16">
        <f>SUM(G6:G19)</f>
        <v>493062.5</v>
      </c>
      <c r="H20" s="15"/>
      <c r="I20" s="16">
        <f>SUM(I6:I19)</f>
        <v>1932.29</v>
      </c>
      <c r="J20" s="15"/>
      <c r="K20" s="16">
        <f>SUM(K6:K19)</f>
        <v>523879.21</v>
      </c>
      <c r="L20" s="16">
        <f>SUM(L6:L19)</f>
        <v>30816.71</v>
      </c>
      <c r="M20" s="15"/>
    </row>
  </sheetData>
  <mergeCells count="8">
    <mergeCell ref="A1:M1"/>
    <mergeCell ref="A2:B2"/>
    <mergeCell ref="C2:D2"/>
    <mergeCell ref="E2:F2"/>
    <mergeCell ref="G2:H2"/>
    <mergeCell ref="I2:J2"/>
    <mergeCell ref="A3:M3"/>
    <mergeCell ref="A4:M4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</worksheet>
</file>