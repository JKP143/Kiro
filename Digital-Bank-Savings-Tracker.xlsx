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8575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8575">
              <a:solidFill>
                <a:srgbClr val="7030A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8575">
              <a:solidFill>
                <a:srgbClr val="843C0C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22"/>
      </c:catAx>
      <c:valAx>
        <c:axId val="222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Cumulative Balance (PHP)</a:t>
                </a:r>
              </a:p>
            </c:rich>
          </c:tx>
          <c:overlay val="0"/>
        </c:title>
        <c:numFmt formatCode="#,##0" sourceLinked="0"/>
        <c:crossAx val="111"/>
      </c:valAx>
    </c:plotArea>
    <c:legend>
      <c:legendPos val="r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843C0C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B9BD5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6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444"/>
      </c:catAx>
      <c:valAx>
        <c:axId val="444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Interest (PHP)</a:t>
                </a:r>
              </a:p>
            </c:rich>
          </c:tx>
          <c:overlay val="0"/>
        </c:title>
        <c:numFmt formatCode="#,##0" sourceLinked="0"/>
        <c:crossAx val="333"/>
      </c:valAx>
    </c:plotArea>
    <c:legend>
      <c:legendPos val="r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>
        <f>"Figures as of "&amp;TEXT(TODAY(),"mmm d, yyyy")</f>
      </c>
      <c r="J4" s="25"/>
      <c r="K4" s="25"/>
      <c r="L4" s="25"/>
      <c r="M4" s="25"/>
    </row>
    <row r="5" ht="18" customHeight="1">
      <c r="A5" t="inlineStr" s="26">
        <is>
          <t xml:space="preserve">Total Balance Today (incl. interest)</t>
        </is>
      </c>
      <c r="B5" s="26"/>
      <c r="C5" s="26"/>
      <c r="D5" s="26"/>
      <c r="E5" s="27">
        <f>SUM(Balance!$H$6:$H$19)</f>
        <v>495559.84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2559.84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-SUMIFS(Transactions!$E$6:$E$205,Transactions!$B$6:$B$205,"Withdrawal")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Balance Today</t>
        </is>
      </c>
      <c r="B12" s="26"/>
      <c r="C12" s="26"/>
      <c r="D12" s="26"/>
      <c r="E12" s="27">
        <f>IFERROR(VLOOKUP("Maya - Personal Goal",Balance!$C$6:$H$19,6,FALSE),0)</f>
        <v>25116.67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0.2512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274565.82</v>
      </c>
    </row>
    <row r="18">
      <c r="A18" t="inlineStr" s="7">
        <is>
          <t xml:space="preserve">UNO</t>
        </is>
      </c>
      <c r="B18" s="30">
        <f>SUMIF(Balance!$A$6:$A$19,A18,Balance!$H$6:$H$19)</f>
        <v>125581.64</v>
      </c>
    </row>
    <row r="19">
      <c r="A19" t="inlineStr" s="7">
        <is>
          <t xml:space="preserve">Tonik</t>
        </is>
      </c>
      <c r="B19" s="30">
        <f>SUMIF(Balance!$A$6:$A$19,A19,Balance!$H$6:$H$19)</f>
        <v>50266.67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12030.0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3">
    <dataValidation type="list" allowBlank="1" showInputMessage="1" showErrorMessage="1" promptTitle="Pick a type" prompt="Choose the transaction type. (Interest is added automatically - no need to record it here.)" sqref="B6:B205">
      <formula1>"Deposit,Withdrawal,Transfer,Adjustment,Fee"</formula1>
    </dataValidation>
    <dataValidation type="list" allowBlank="1" showInputMessage="1" showErrorMessage="1" promptTitle="Pick a bank" prompt="Choose the bank from the drop-down list." sqref="C6:C205">
      <formula1>BankList</formula1>
    </dataValidation>
    <dataValidation type="list" allowBlank="1" showInputMessage="1" showErrorMessage="1" promptTitle="Pick an account" prompt="Choose the account from the drop-down list." sqref="D6:D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Balance Today grows automatically with interest each day/month. Current Balance = Deposits + Net Transactions (money you moved); Balance Today adds the interest accrued up to today.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to Date</t>
        </is>
      </c>
      <c r="H5" t="inlineStr" s="6">
        <is>
          <t xml:space="preserve">Balance Today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4" customWidth="1"/>
    <col min="5" max="5" width="11" customWidth="1"/>
    <col min="6" max="6" width="11" customWidth="1"/>
    <col min="7" max="7" width="15" customWidth="1"/>
    <col min="8" max="8" width="11" customWidth="1"/>
    <col min="9" max="9" width="15" customWidth="1"/>
    <col min="10" max="10" width="10" customWidth="1"/>
    <col min="11" max="11" width="16" customWidth="1"/>
    <col min="12" max="12" width="15" customWidth="1"/>
    <col min="13" max="13" width="12" customWidth="1"/>
    <col min="14" max="14" width="13" customWidth="1"/>
    <col min="15" max="15" width="12" customWidth="1"/>
    <col min="16" max="16" width="16" customWidth="1"/>
    <col min="17" max="17" width="16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</row>
    <row r="3" ht="22" customHeight="1">
      <c r="A3" t="inlineStr" s="5">
        <is>
          <t xml:space="preserve">Interest auto-calculates and GROWS ON ITS OWN. 'Balance Today' accrues from the yellow 'Interest Start' date up to TODAY() every time you open the file - daily accounts step up each day, monthly accounts each month.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G16*H16</f>
        <v>2.05</v>
      </c>
      <c r="J16" s="10">
        <f>IF(F16="Daily",365,12)</f>
        <v>365</v>
      </c>
      <c r="K16" s="8">
        <f>G16*(1+H16)^J16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1932.28</v>
      </c>
      <c r="J20" s="15"/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</row>
  </sheetData>
  <mergeCells count="8">
    <mergeCell ref="A1:Q1"/>
    <mergeCell ref="A2:B2"/>
    <mergeCell ref="C2:D2"/>
    <mergeCell ref="E2:F2"/>
    <mergeCell ref="G2:H2"/>
    <mergeCell ref="I2:J2"/>
    <mergeCell ref="A3:Q3"/>
    <mergeCell ref="A4:Q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