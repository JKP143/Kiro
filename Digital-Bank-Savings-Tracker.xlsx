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definedNames>
    <definedName name="BankList">Dashboard!$A$17:$A$23</definedName>
    <definedName name="AccountList">Interest!$D$6:$D$19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[$₱-3409]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5" borderId="0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  <xf numFmtId="14" fontId="0" fillId="6" borderId="1" xfId="0" applyFont="1" applyFill="1" applyBorder="1" applyNumberFormat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8575">
              <a:solidFill>
                <a:srgbClr val="4472C4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8575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8575">
              <a:solidFill>
                <a:srgbClr val="70AD47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15000.0</c:v>
                </c:pt>
                <c:pt idx="1">
                  <c:v>15062.6261</c:v>
                </c:pt>
                <c:pt idx="2">
                  <c:v>15125.5137</c:v>
                </c:pt>
                <c:pt idx="3">
                  <c:v>15188.6638</c:v>
                </c:pt>
                <c:pt idx="4">
                  <c:v>15252.0775</c:v>
                </c:pt>
                <c:pt idx="5">
                  <c:v>15315.7561</c:v>
                </c:pt>
                <c:pt idx="6">
                  <c:v>15379.7005</c:v>
                </c:pt>
                <c:pt idx="7">
                  <c:v>15443.9118</c:v>
                </c:pt>
                <c:pt idx="8">
                  <c:v>15508.3913</c:v>
                </c:pt>
                <c:pt idx="9">
                  <c:v>15573.14</c:v>
                </c:pt>
                <c:pt idx="10">
                  <c:v>15638.159</c:v>
                </c:pt>
                <c:pt idx="11">
                  <c:v>15703.4494</c:v>
                </c:pt>
                <c:pt idx="12">
                  <c:v>15769.0124</c:v>
                </c:pt>
                <c:pt idx="13">
                  <c:v>15834.8492</c:v>
                </c:pt>
                <c:pt idx="14">
                  <c:v>15900.9609</c:v>
                </c:pt>
                <c:pt idx="15">
                  <c:v>15967.3485</c:v>
                </c:pt>
                <c:pt idx="16">
                  <c:v>16034.0134</c:v>
                </c:pt>
                <c:pt idx="17">
                  <c:v>16100.9566</c:v>
                </c:pt>
                <c:pt idx="18">
                  <c:v>16168.1792</c:v>
                </c:pt>
                <c:pt idx="19">
                  <c:v>16235.6825</c:v>
                </c:pt>
                <c:pt idx="20">
                  <c:v>16303.4677</c:v>
                </c:pt>
                <c:pt idx="21">
                  <c:v>16371.5359</c:v>
                </c:pt>
                <c:pt idx="22">
                  <c:v>16439.8882</c:v>
                </c:pt>
                <c:pt idx="23">
                  <c:v>16508.5259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8575">
              <a:solidFill>
                <a:srgbClr val="7030A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8575">
              <a:solidFill>
                <a:srgbClr val="843C0C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222"/>
      </c:catAx>
      <c:valAx>
        <c:axId val="222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Cumulative Balance (PHP)</a:t>
                </a:r>
              </a:p>
            </c:rich>
          </c:tx>
          <c:overlay val="0"/>
        </c:title>
        <c:numFmt formatCode="#,##0" sourceLinked="0"/>
        <c:crossAx val="111"/>
      </c:valAx>
    </c:plotArea>
    <c:legend>
      <c:legendPos val="r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274565.82</c:v>
                </c:pt>
                <c:pt idx="1">
                  <c:v>125581.64</c:v>
                </c:pt>
                <c:pt idx="2">
                  <c:v>50266.67</c:v>
                </c:pt>
                <c:pt idx="3">
                  <c:v>15070.02</c:v>
                </c:pt>
                <c:pt idx="4">
                  <c:v>10021.45</c:v>
                </c:pt>
                <c:pt idx="5">
                  <c:v>12030.0</c:v>
                </c:pt>
                <c:pt idx="6">
                  <c:v>8024.25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 by Bank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Dashboard!$B$106</c:f>
              <c:strCache>
                <c:ptCount val="1"/>
                <c:pt idx="0">
                  <c:v>Maya</c:v>
                </c:pt>
              </c:strCache>
            </c:strRef>
          </c:tx>
          <c:spPr>
            <a:solidFill>
              <a:srgbClr val="4472C4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Dashboard!$B$107:$B$130</c:f>
              <c:numCache>
                <c:formatCode>General</c:formatCode>
                <c:ptCount val="24"/>
                <c:pt idx="0">
                  <c:v>0.0</c:v>
                </c:pt>
                <c:pt idx="1">
                  <c:v>1518.2827</c:v>
                </c:pt>
                <c:pt idx="2">
                  <c:v>1527.1875</c:v>
                </c:pt>
                <c:pt idx="3">
                  <c:v>1536.1479</c:v>
                </c:pt>
                <c:pt idx="4">
                  <c:v>1545.1644</c:v>
                </c:pt>
                <c:pt idx="5">
                  <c:v>1554.2372</c:v>
                </c:pt>
                <c:pt idx="6">
                  <c:v>1563.3669</c:v>
                </c:pt>
                <c:pt idx="7">
                  <c:v>1572.5537</c:v>
                </c:pt>
                <c:pt idx="8">
                  <c:v>1581.798</c:v>
                </c:pt>
                <c:pt idx="9">
                  <c:v>1591.1003</c:v>
                </c:pt>
                <c:pt idx="10">
                  <c:v>1600.4609</c:v>
                </c:pt>
                <c:pt idx="11">
                  <c:v>1609.8802</c:v>
                </c:pt>
                <c:pt idx="12">
                  <c:v>1619.3586</c:v>
                </c:pt>
                <c:pt idx="13">
                  <c:v>1628.8965</c:v>
                </c:pt>
                <c:pt idx="14">
                  <c:v>1638.4942</c:v>
                </c:pt>
                <c:pt idx="15">
                  <c:v>1648.1523</c:v>
                </c:pt>
                <c:pt idx="16">
                  <c:v>1657.8711</c:v>
                </c:pt>
                <c:pt idx="17">
                  <c:v>1667.6511</c:v>
                </c:pt>
                <c:pt idx="18">
                  <c:v>1677.4925</c:v>
                </c:pt>
                <c:pt idx="19">
                  <c:v>1687.3959</c:v>
                </c:pt>
                <c:pt idx="20">
                  <c:v>1697.3616</c:v>
                </c:pt>
                <c:pt idx="21">
                  <c:v>1707.3902</c:v>
                </c:pt>
                <c:pt idx="22">
                  <c:v>1717.4819</c:v>
                </c:pt>
                <c:pt idx="23">
                  <c:v>1727.6372</c:v>
                </c:pt>
              </c:numCache>
            </c:numRef>
          </c:val>
        </c:ser>
        <c:ser>
          <c:idx val="1"/>
          <c:order val="1"/>
          <c:tx>
            <c:strRef>
              <c:f>Dashboard!$C$106</c:f>
              <c:strCache>
                <c:ptCount val="1"/>
                <c:pt idx="0">
                  <c:v>UNO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Dashboard!$C$107:$C$130</c:f>
              <c:numCache>
                <c:formatCode>General</c:formatCode>
                <c:ptCount val="24"/>
                <c:pt idx="0">
                  <c:v>0.0</c:v>
                </c:pt>
                <c:pt idx="1">
                  <c:v>573.0196</c:v>
                </c:pt>
                <c:pt idx="2">
                  <c:v>575.7329</c:v>
                </c:pt>
                <c:pt idx="3">
                  <c:v>578.4593</c:v>
                </c:pt>
                <c:pt idx="4">
                  <c:v>581.1989</c:v>
                </c:pt>
                <c:pt idx="5">
                  <c:v>583.9517</c:v>
                </c:pt>
                <c:pt idx="6">
                  <c:v>586.7178</c:v>
                </c:pt>
                <c:pt idx="7">
                  <c:v>589.4974</c:v>
                </c:pt>
                <c:pt idx="8">
                  <c:v>592.2904</c:v>
                </c:pt>
                <c:pt idx="9">
                  <c:v>595.0969</c:v>
                </c:pt>
                <c:pt idx="10">
                  <c:v>597.9169</c:v>
                </c:pt>
                <c:pt idx="11">
                  <c:v>600.7507</c:v>
                </c:pt>
                <c:pt idx="12">
                  <c:v>603.5981</c:v>
                </c:pt>
                <c:pt idx="13">
                  <c:v>606.4593</c:v>
                </c:pt>
                <c:pt idx="14">
                  <c:v>609.3344</c:v>
                </c:pt>
                <c:pt idx="15">
                  <c:v>612.2234</c:v>
                </c:pt>
                <c:pt idx="16">
                  <c:v>615.1263</c:v>
                </c:pt>
                <c:pt idx="17">
                  <c:v>618.0433</c:v>
                </c:pt>
                <c:pt idx="18">
                  <c:v>620.9745</c:v>
                </c:pt>
                <c:pt idx="19">
                  <c:v>623.9198</c:v>
                </c:pt>
                <c:pt idx="20">
                  <c:v>626.8794</c:v>
                </c:pt>
                <c:pt idx="21">
                  <c:v>629.8533</c:v>
                </c:pt>
                <c:pt idx="22">
                  <c:v>632.8417</c:v>
                </c:pt>
                <c:pt idx="23">
                  <c:v>635.8445</c:v>
                </c:pt>
              </c:numCache>
            </c:numRef>
          </c:val>
        </c:ser>
        <c:ser>
          <c:idx val="2"/>
          <c:order val="2"/>
          <c:tx>
            <c:strRef>
              <c:f>Dashboard!$D$106</c:f>
              <c:strCache>
                <c:ptCount val="1"/>
                <c:pt idx="0">
                  <c:v>Tonik</c:v>
                </c:pt>
              </c:strCache>
            </c:strRef>
          </c:tx>
          <c:spPr>
            <a:solidFill>
              <a:srgbClr val="70AD47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Dashboard!$D$107:$D$130</c:f>
              <c:numCache>
                <c:formatCode>General</c:formatCode>
                <c:ptCount val="24"/>
                <c:pt idx="0">
                  <c:v>0.0</c:v>
                </c:pt>
                <c:pt idx="1">
                  <c:v>266.6667</c:v>
                </c:pt>
                <c:pt idx="2">
                  <c:v>268.2222</c:v>
                </c:pt>
                <c:pt idx="3">
                  <c:v>269.7874</c:v>
                </c:pt>
                <c:pt idx="4">
                  <c:v>271.3623</c:v>
                </c:pt>
                <c:pt idx="5">
                  <c:v>272.9469</c:v>
                </c:pt>
                <c:pt idx="6">
                  <c:v>274.5414</c:v>
                </c:pt>
                <c:pt idx="7">
                  <c:v>276.1457</c:v>
                </c:pt>
                <c:pt idx="8">
                  <c:v>277.76</c:v>
                </c:pt>
                <c:pt idx="9">
                  <c:v>279.3842</c:v>
                </c:pt>
                <c:pt idx="10">
                  <c:v>281.0186</c:v>
                </c:pt>
                <c:pt idx="11">
                  <c:v>282.663</c:v>
                </c:pt>
                <c:pt idx="12">
                  <c:v>284.3177</c:v>
                </c:pt>
                <c:pt idx="13">
                  <c:v>285.9827</c:v>
                </c:pt>
                <c:pt idx="14">
                  <c:v>287.6579</c:v>
                </c:pt>
                <c:pt idx="15">
                  <c:v>289.3436</c:v>
                </c:pt>
                <c:pt idx="16">
                  <c:v>291.0398</c:v>
                </c:pt>
                <c:pt idx="17">
                  <c:v>292.7464</c:v>
                </c:pt>
                <c:pt idx="18">
                  <c:v>294.4637</c:v>
                </c:pt>
                <c:pt idx="19">
                  <c:v>296.1916</c:v>
                </c:pt>
                <c:pt idx="20">
                  <c:v>297.9303</c:v>
                </c:pt>
                <c:pt idx="21">
                  <c:v>299.6798</c:v>
                </c:pt>
                <c:pt idx="22">
                  <c:v>301.4401</c:v>
                </c:pt>
                <c:pt idx="23">
                  <c:v>303.2114</c:v>
                </c:pt>
              </c:numCache>
            </c:numRef>
          </c:val>
        </c:ser>
        <c:ser>
          <c:idx val="3"/>
          <c:order val="3"/>
          <c:tx>
            <c:strRef>
              <c:f>Dashboard!$E$106</c:f>
              <c:strCache>
                <c:ptCount val="1"/>
                <c:pt idx="0">
                  <c:v>Banko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Dashboard!$E$107:$E$130</c:f>
              <c:numCache>
                <c:formatCode>General</c:formatCode>
                <c:ptCount val="24"/>
                <c:pt idx="0">
                  <c:v>0.0</c:v>
                </c:pt>
                <c:pt idx="1">
                  <c:v>62.6261</c:v>
                </c:pt>
                <c:pt idx="2">
                  <c:v>62.8876</c:v>
                </c:pt>
                <c:pt idx="3">
                  <c:v>63.1501</c:v>
                </c:pt>
                <c:pt idx="4">
                  <c:v>63.4138</c:v>
                </c:pt>
                <c:pt idx="5">
                  <c:v>63.6785</c:v>
                </c:pt>
                <c:pt idx="6">
                  <c:v>63.9444</c:v>
                </c:pt>
                <c:pt idx="7">
                  <c:v>64.2114</c:v>
                </c:pt>
                <c:pt idx="8">
                  <c:v>64.4795</c:v>
                </c:pt>
                <c:pt idx="9">
                  <c:v>64.7487</c:v>
                </c:pt>
                <c:pt idx="10">
                  <c:v>65.019</c:v>
                </c:pt>
                <c:pt idx="11">
                  <c:v>65.2905</c:v>
                </c:pt>
                <c:pt idx="12">
                  <c:v>65.563</c:v>
                </c:pt>
                <c:pt idx="13">
                  <c:v>65.8368</c:v>
                </c:pt>
                <c:pt idx="14">
                  <c:v>66.1116</c:v>
                </c:pt>
                <c:pt idx="15">
                  <c:v>66.3877</c:v>
                </c:pt>
                <c:pt idx="16">
                  <c:v>66.6648</c:v>
                </c:pt>
                <c:pt idx="17">
                  <c:v>66.9432</c:v>
                </c:pt>
                <c:pt idx="18">
                  <c:v>67.2227</c:v>
                </c:pt>
                <c:pt idx="19">
                  <c:v>67.5033</c:v>
                </c:pt>
                <c:pt idx="20">
                  <c:v>67.7852</c:v>
                </c:pt>
                <c:pt idx="21">
                  <c:v>68.0682</c:v>
                </c:pt>
                <c:pt idx="22">
                  <c:v>68.3524</c:v>
                </c:pt>
                <c:pt idx="23">
                  <c:v>68.6377</c:v>
                </c:pt>
              </c:numCache>
            </c:numRef>
          </c:val>
        </c:ser>
        <c:ser>
          <c:idx val="4"/>
          <c:order val="4"/>
          <c:tx>
            <c:strRef>
              <c:f>Dashboard!$F$106</c:f>
              <c:strCache>
                <c:ptCount val="1"/>
                <c:pt idx="0">
                  <c:v>CIMB</c:v>
                </c:pt>
              </c:strCache>
            </c:strRef>
          </c:tx>
          <c:spPr>
            <a:solidFill>
              <a:srgbClr val="7030A0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Dashboard!$F$107:$F$130</c:f>
              <c:numCache>
                <c:formatCode>General</c:formatCode>
                <c:ptCount val="24"/>
                <c:pt idx="0">
                  <c:v>0.0</c:v>
                </c:pt>
                <c:pt idx="1">
                  <c:v>19.1844</c:v>
                </c:pt>
                <c:pt idx="2">
                  <c:v>19.2212</c:v>
                </c:pt>
                <c:pt idx="3">
                  <c:v>19.2581</c:v>
                </c:pt>
                <c:pt idx="4">
                  <c:v>19.2951</c:v>
                </c:pt>
                <c:pt idx="5">
                  <c:v>19.3321</c:v>
                </c:pt>
                <c:pt idx="6">
                  <c:v>19.3692</c:v>
                </c:pt>
                <c:pt idx="7">
                  <c:v>19.4063</c:v>
                </c:pt>
                <c:pt idx="8">
                  <c:v>19.4436</c:v>
                </c:pt>
                <c:pt idx="9">
                  <c:v>19.4809</c:v>
                </c:pt>
                <c:pt idx="10">
                  <c:v>19.5182</c:v>
                </c:pt>
                <c:pt idx="11">
                  <c:v>19.5557</c:v>
                </c:pt>
                <c:pt idx="12">
                  <c:v>19.5932</c:v>
                </c:pt>
                <c:pt idx="13">
                  <c:v>19.6308</c:v>
                </c:pt>
                <c:pt idx="14">
                  <c:v>19.6684</c:v>
                </c:pt>
                <c:pt idx="15">
                  <c:v>19.7062</c:v>
                </c:pt>
                <c:pt idx="16">
                  <c:v>19.744</c:v>
                </c:pt>
                <c:pt idx="17">
                  <c:v>19.7819</c:v>
                </c:pt>
                <c:pt idx="18">
                  <c:v>19.8198</c:v>
                </c:pt>
                <c:pt idx="19">
                  <c:v>19.8578</c:v>
                </c:pt>
                <c:pt idx="20">
                  <c:v>19.8959</c:v>
                </c:pt>
                <c:pt idx="21">
                  <c:v>19.9341</c:v>
                </c:pt>
                <c:pt idx="22">
                  <c:v>19.9723</c:v>
                </c:pt>
                <c:pt idx="23">
                  <c:v>20.0107</c:v>
                </c:pt>
              </c:numCache>
            </c:numRef>
          </c:val>
        </c:ser>
        <c:ser>
          <c:idx val="5"/>
          <c:order val="5"/>
          <c:tx>
            <c:strRef>
              <c:f>Dashboard!$G$106</c:f>
              <c:strCache>
                <c:ptCount val="1"/>
                <c:pt idx="0">
                  <c:v>GoTyme</c:v>
                </c:pt>
              </c:strCache>
            </c:strRef>
          </c:tx>
          <c:spPr>
            <a:solidFill>
              <a:srgbClr val="843C0C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Dashboard!$G$107:$G$130</c:f>
              <c:numCache>
                <c:formatCode>General</c:formatCode>
                <c:ptCount val="24"/>
                <c:pt idx="0">
                  <c:v>0.0</c:v>
                </c:pt>
                <c:pt idx="1">
                  <c:v>30.0</c:v>
                </c:pt>
                <c:pt idx="2">
                  <c:v>30.075</c:v>
                </c:pt>
                <c:pt idx="3">
                  <c:v>30.1502</c:v>
                </c:pt>
                <c:pt idx="4">
                  <c:v>30.2256</c:v>
                </c:pt>
                <c:pt idx="5">
                  <c:v>30.3011</c:v>
                </c:pt>
                <c:pt idx="6">
                  <c:v>30.3769</c:v>
                </c:pt>
                <c:pt idx="7">
                  <c:v>30.4528</c:v>
                </c:pt>
                <c:pt idx="8">
                  <c:v>30.529</c:v>
                </c:pt>
                <c:pt idx="9">
                  <c:v>30.6053</c:v>
                </c:pt>
                <c:pt idx="10">
                  <c:v>30.6818</c:v>
                </c:pt>
                <c:pt idx="11">
                  <c:v>30.7585</c:v>
                </c:pt>
                <c:pt idx="12">
                  <c:v>30.8354</c:v>
                </c:pt>
                <c:pt idx="13">
                  <c:v>30.9125</c:v>
                </c:pt>
                <c:pt idx="14">
                  <c:v>30.9898</c:v>
                </c:pt>
                <c:pt idx="15">
                  <c:v>31.0672</c:v>
                </c:pt>
                <c:pt idx="16">
                  <c:v>31.1449</c:v>
                </c:pt>
                <c:pt idx="17">
                  <c:v>31.2228</c:v>
                </c:pt>
                <c:pt idx="18">
                  <c:v>31.3008</c:v>
                </c:pt>
                <c:pt idx="19">
                  <c:v>31.3791</c:v>
                </c:pt>
                <c:pt idx="20">
                  <c:v>31.4575</c:v>
                </c:pt>
                <c:pt idx="21">
                  <c:v>31.5362</c:v>
                </c:pt>
                <c:pt idx="22">
                  <c:v>31.615</c:v>
                </c:pt>
                <c:pt idx="23">
                  <c:v>31.694</c:v>
                </c:pt>
              </c:numCache>
            </c:numRef>
          </c:val>
        </c:ser>
        <c:ser>
          <c:idx val="6"/>
          <c:order val="6"/>
          <c:tx>
            <c:strRef>
              <c:f>Dashboard!$H$106</c:f>
              <c:strCache>
                <c:ptCount val="1"/>
                <c:pt idx="0">
                  <c:v>Maribank</c:v>
                </c:pt>
              </c:strCache>
            </c:strRef>
          </c:tx>
          <c:spPr>
            <a:solidFill>
              <a:srgbClr val="5B9BD5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Dashboard!$H$107:$H$130</c:f>
              <c:numCache>
                <c:formatCode>General</c:formatCode>
                <c:ptCount val="24"/>
                <c:pt idx="0">
                  <c:v>0.0</c:v>
                </c:pt>
                <c:pt idx="1">
                  <c:v>21.6951</c:v>
                </c:pt>
                <c:pt idx="2">
                  <c:v>21.7539</c:v>
                </c:pt>
                <c:pt idx="3">
                  <c:v>21.8129</c:v>
                </c:pt>
                <c:pt idx="4">
                  <c:v>21.872</c:v>
                </c:pt>
                <c:pt idx="5">
                  <c:v>21.9314</c:v>
                </c:pt>
                <c:pt idx="6">
                  <c:v>21.9908</c:v>
                </c:pt>
                <c:pt idx="7">
                  <c:v>22.0505</c:v>
                </c:pt>
                <c:pt idx="8">
                  <c:v>22.1103</c:v>
                </c:pt>
                <c:pt idx="9">
                  <c:v>22.1702</c:v>
                </c:pt>
                <c:pt idx="10">
                  <c:v>22.2304</c:v>
                </c:pt>
                <c:pt idx="11">
                  <c:v>22.2906</c:v>
                </c:pt>
                <c:pt idx="12">
                  <c:v>22.3511</c:v>
                </c:pt>
                <c:pt idx="13">
                  <c:v>22.4117</c:v>
                </c:pt>
                <c:pt idx="14">
                  <c:v>22.4725</c:v>
                </c:pt>
                <c:pt idx="15">
                  <c:v>22.5334</c:v>
                </c:pt>
                <c:pt idx="16">
                  <c:v>22.5945</c:v>
                </c:pt>
                <c:pt idx="17">
                  <c:v>22.6558</c:v>
                </c:pt>
                <c:pt idx="18">
                  <c:v>22.7172</c:v>
                </c:pt>
                <c:pt idx="19">
                  <c:v>22.7789</c:v>
                </c:pt>
                <c:pt idx="20">
                  <c:v>22.8406</c:v>
                </c:pt>
                <c:pt idx="21">
                  <c:v>22.9026</c:v>
                </c:pt>
                <c:pt idx="22">
                  <c:v>22.9647</c:v>
                </c:pt>
                <c:pt idx="23">
                  <c:v>23.027</c:v>
                </c:pt>
              </c:numCache>
            </c:numRef>
          </c:val>
        </c:ser>
        <c:gapWidth val="60"/>
        <c:overlap val="100"/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444"/>
      </c:catAx>
      <c:valAx>
        <c:axId val="444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Interest (PHP)</a:t>
                </a:r>
              </a:p>
            </c:rich>
          </c:tx>
          <c:overlay val="0"/>
        </c:title>
        <c:numFmt formatCode="#,##0" sourceLinked="0"/>
        <c:crossAx val="333"/>
      </c:valAx>
    </c:plotArea>
    <c:legend>
      <c:legendPos val="r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5:F205" totalsRowShown="0">
  <autoFilter ref="A5:F205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0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5" t="str">
        <f>"Figures as of "&amp;TEXT(TODAY(),"mmm d, yyyy")</f>
        <v>Figures as of today</v>
      </c>
      <c r="J4" s="25"/>
      <c r="K4" s="25"/>
      <c r="L4" s="25"/>
      <c r="M4" s="25"/>
    </row>
    <row r="5" ht="18" customHeight="1">
      <c r="A5" t="inlineStr" s="26">
        <is>
          <t xml:space="preserve">Total Balance Today (incl. interest)</t>
        </is>
      </c>
      <c r="B5" s="26"/>
      <c r="C5" s="26"/>
      <c r="D5" s="26"/>
      <c r="E5" s="27">
        <f>SUM(Balance!$H$6:$H$19)</f>
        <v>495559.84</v>
      </c>
      <c r="F5" s="27"/>
      <c r="G5" s="27"/>
      <c r="H5" s="27"/>
    </row>
    <row r="6" ht="18" customHeight="1">
      <c r="A6" t="inlineStr" s="26">
        <is>
          <t xml:space="preserve">Total Deposited (All-Time)</t>
        </is>
      </c>
      <c r="B6" s="26"/>
      <c r="C6" s="26"/>
      <c r="D6" s="26"/>
      <c r="E6" s="27">
        <f>SUM(Balance!$D$6:$D$19)</f>
        <v>490000.0</v>
      </c>
      <c r="F6" s="27"/>
      <c r="G6" s="27"/>
      <c r="H6" s="27"/>
    </row>
    <row r="7" ht="18" customHeight="1">
      <c r="A7" t="inlineStr" s="26">
        <is>
          <t xml:space="preserve">Interest Earned to Date (auto)</t>
        </is>
      </c>
      <c r="B7" s="26"/>
      <c r="C7" s="26"/>
      <c r="D7" s="26"/>
      <c r="E7" s="27">
        <f>SUM(Balance!$G$6:$G$19)</f>
        <v>2559.84</v>
      </c>
      <c r="F7" s="27"/>
      <c r="G7" s="27"/>
      <c r="H7" s="27"/>
    </row>
    <row r="8" ht="18" customHeight="1">
      <c r="A8" t="inlineStr" s="26">
        <is>
          <t xml:space="preserve">Total Withdrawn</t>
        </is>
      </c>
      <c r="B8" s="26"/>
      <c r="C8" s="26"/>
      <c r="D8" s="26"/>
      <c r="E8" s="27">
        <f>-SUMIFS(Transactions!$E$6:$E$205,Transactions!$B$6:$B$205,"Withdrawal")</f>
        <v>2000</v>
      </c>
      <c r="F8" s="27"/>
      <c r="G8" s="27"/>
      <c r="H8" s="27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6">
        <is>
          <t xml:space="preserve">Your Savings Goal Target</t>
        </is>
      </c>
      <c r="B11" s="26"/>
      <c r="C11" s="26"/>
      <c r="D11" s="26"/>
      <c r="E11" s="29">
        <v>100000</v>
      </c>
      <c r="F11" s="29"/>
      <c r="G11" s="29"/>
      <c r="H11" s="29"/>
    </row>
    <row r="12" ht="18" customHeight="1">
      <c r="A12" t="inlineStr" s="26">
        <is>
          <t xml:space="preserve">Maya Personal Goal — Balance Today</t>
        </is>
      </c>
      <c r="B12" s="26"/>
      <c r="C12" s="26"/>
      <c r="D12" s="26"/>
      <c r="E12" s="27">
        <f>IFERROR(VLOOKUP("Maya - Personal Goal",Balance!$C$6:$H$19,6,FALSE),0)</f>
        <v>25116.67</v>
      </c>
      <c r="F12" s="27"/>
      <c r="G12" s="27"/>
      <c r="H12" s="27"/>
    </row>
    <row r="13" ht="18" customHeight="1">
      <c r="A13" t="inlineStr" s="26">
        <is>
          <t xml:space="preserve">Progress Toward Goal</t>
        </is>
      </c>
      <c r="B13" s="26"/>
      <c r="C13" s="26"/>
      <c r="D13" s="26"/>
      <c r="E13" s="28">
        <f>IFERROR(E12/E11,0)</f>
        <v>0.2512</v>
      </c>
      <c r="F13" s="28"/>
      <c r="G13" s="28"/>
      <c r="H13" s="28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30">
        <f>SUMIF(Balance!$A$6:$A$19,A17,Balance!$H$6:$H$19)</f>
        <v>274565.82</v>
      </c>
    </row>
    <row r="18">
      <c r="A18" t="inlineStr" s="7">
        <is>
          <t xml:space="preserve">UNO</t>
        </is>
      </c>
      <c r="B18" s="30">
        <f>SUMIF(Balance!$A$6:$A$19,A18,Balance!$H$6:$H$19)</f>
        <v>125581.64</v>
      </c>
    </row>
    <row r="19">
      <c r="A19" t="inlineStr" s="7">
        <is>
          <t xml:space="preserve">Tonik</t>
        </is>
      </c>
      <c r="B19" s="30">
        <f>SUMIF(Balance!$A$6:$A$19,A19,Balance!$H$6:$H$19)</f>
        <v>50266.67</v>
      </c>
    </row>
    <row r="20">
      <c r="A20" t="inlineStr" s="7">
        <is>
          <t xml:space="preserve">Banko</t>
        </is>
      </c>
      <c r="B20" s="30">
        <f>SUMIF(Balance!$A$6:$A$19,A20,Balance!$H$6:$H$19)</f>
        <v>15070.02</v>
      </c>
    </row>
    <row r="21">
      <c r="A21" t="inlineStr" s="7">
        <is>
          <t xml:space="preserve">CIMB</t>
        </is>
      </c>
      <c r="B21" s="30">
        <f>SUMIF(Balance!$A$6:$A$19,A21,Balance!$H$6:$H$19)</f>
        <v>10021.45</v>
      </c>
    </row>
    <row r="22">
      <c r="A22" t="inlineStr" s="7">
        <is>
          <t xml:space="preserve">GoTyme</t>
        </is>
      </c>
      <c r="B22" s="30">
        <f>SUMIF(Balance!$A$6:$A$19,A22,Balance!$H$6:$H$19)</f>
        <v>12030.0</v>
      </c>
    </row>
    <row r="23">
      <c r="A23" t="inlineStr" s="7">
        <is>
          <t xml:space="preserve">Maribank</t>
        </is>
      </c>
      <c r="B23" s="30">
        <f>SUMIF(Balance!$A$6:$A$19,A23,Balance!$H$6:$H$19)</f>
        <v>8024.25</v>
      </c>
    </row>
    <row r="24">
      <c r="A24" t="inlineStr" s="15">
        <is>
          <t xml:space="preserve">Total</t>
        </is>
      </c>
      <c r="B24" s="16">
        <f>SUM(B17:B23)</f>
        <v>495559.84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 by Bank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15000.0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15062.63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2491.47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15125.51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2505.08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15188.66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2518.77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15252.08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2532.53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15315.76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2546.38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15379.7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2560.31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15443.91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2574.32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15508.39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2588.41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15573.14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2602.59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15638.16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2616.85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15703.45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2631.19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15769.01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2645.62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15834.85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2660.13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15900.96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2674.73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15967.35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2689.41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16034.01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2704.19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16100.96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2719.04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16168.18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2733.99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16235.68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2749.03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16303.47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2764.15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16371.54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2779.36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16439.89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2794.67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16508.53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2810.06</v>
      </c>
    </row>
    <row r="105" ht="22" customHeight="1">
      <c r="A105" t="inlineStr" s="24">
        <is>
          <t xml:space="preserve">🗂 Monthly Interest Earned by Bank (auto)</t>
        </is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  <row r="106">
      <c r="A106" t="inlineStr" s="22">
        <is>
          <t xml:space="preserve">Month</t>
        </is>
      </c>
      <c r="B106" t="inlineStr" s="22">
        <is>
          <t xml:space="preserve">Maya</t>
        </is>
      </c>
      <c r="C106" t="inlineStr" s="22">
        <is>
          <t xml:space="preserve">UNO</t>
        </is>
      </c>
      <c r="D106" t="inlineStr" s="22">
        <is>
          <t xml:space="preserve">Tonik</t>
        </is>
      </c>
      <c r="E106" t="inlineStr" s="22">
        <is>
          <t xml:space="preserve">Banko</t>
        </is>
      </c>
      <c r="F106" t="inlineStr" s="22">
        <is>
          <t xml:space="preserve">CIMB</t>
        </is>
      </c>
      <c r="G106" t="inlineStr" s="22">
        <is>
          <t xml:space="preserve">GoTyme</t>
        </is>
      </c>
      <c r="H106" t="inlineStr" s="22">
        <is>
          <t xml:space="preserve">Maribank</t>
        </is>
      </c>
    </row>
    <row r="107">
      <c r="A107" t="inlineStr" s="7">
        <is>
          <t xml:space="preserve">Jan 2026</t>
        </is>
      </c>
      <c r="B107" s="8">
        <v>0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</row>
    <row r="108">
      <c r="A108" t="inlineStr" s="7">
        <is>
          <t xml:space="preserve">Feb 2026</t>
        </is>
      </c>
      <c r="B108" s="8">
        <f>B81-B80</f>
        <v>1518.28</v>
      </c>
      <c r="C108" s="8">
        <f>C81-C80</f>
        <v>573.02</v>
      </c>
      <c r="D108" s="8">
        <f>D81-D80</f>
        <v>266.67</v>
      </c>
      <c r="E108" s="8">
        <f>E81-E80</f>
        <v>62.63</v>
      </c>
      <c r="F108" s="8">
        <f>F81-F80</f>
        <v>19.18</v>
      </c>
      <c r="G108" s="8">
        <f>G81-G80</f>
        <v>30.0</v>
      </c>
      <c r="H108" s="8">
        <f>H81-H80</f>
        <v>21.7</v>
      </c>
    </row>
    <row r="109">
      <c r="A109" t="inlineStr" s="7">
        <is>
          <t xml:space="preserve">Mar 2026</t>
        </is>
      </c>
      <c r="B109" s="8">
        <f>B82-B81</f>
        <v>1527.19</v>
      </c>
      <c r="C109" s="8">
        <f>C82-C81</f>
        <v>575.73</v>
      </c>
      <c r="D109" s="8">
        <f>D82-D81</f>
        <v>268.22</v>
      </c>
      <c r="E109" s="8">
        <f>E82-E81</f>
        <v>62.89</v>
      </c>
      <c r="F109" s="8">
        <f>F82-F81</f>
        <v>19.22</v>
      </c>
      <c r="G109" s="8">
        <f>G82-G81</f>
        <v>30.07</v>
      </c>
      <c r="H109" s="8">
        <f>H82-H81</f>
        <v>21.75</v>
      </c>
    </row>
    <row r="110">
      <c r="A110" t="inlineStr" s="7">
        <is>
          <t xml:space="preserve">Apr 2026</t>
        </is>
      </c>
      <c r="B110" s="8">
        <f>B83-B82</f>
        <v>1536.15</v>
      </c>
      <c r="C110" s="8">
        <f>C83-C82</f>
        <v>578.46</v>
      </c>
      <c r="D110" s="8">
        <f>D83-D82</f>
        <v>269.79</v>
      </c>
      <c r="E110" s="8">
        <f>E83-E82</f>
        <v>63.15</v>
      </c>
      <c r="F110" s="8">
        <f>F83-F82</f>
        <v>19.26</v>
      </c>
      <c r="G110" s="8">
        <f>G83-G82</f>
        <v>30.15</v>
      </c>
      <c r="H110" s="8">
        <f>H83-H82</f>
        <v>21.81</v>
      </c>
    </row>
    <row r="111">
      <c r="A111" t="inlineStr" s="7">
        <is>
          <t xml:space="preserve">May 2026</t>
        </is>
      </c>
      <c r="B111" s="8">
        <f>B84-B83</f>
        <v>1545.16</v>
      </c>
      <c r="C111" s="8">
        <f>C84-C83</f>
        <v>581.2</v>
      </c>
      <c r="D111" s="8">
        <f>D84-D83</f>
        <v>271.36</v>
      </c>
      <c r="E111" s="8">
        <f>E84-E83</f>
        <v>63.41</v>
      </c>
      <c r="F111" s="8">
        <f>F84-F83</f>
        <v>19.3</v>
      </c>
      <c r="G111" s="8">
        <f>G84-G83</f>
        <v>30.23</v>
      </c>
      <c r="H111" s="8">
        <f>H84-H83</f>
        <v>21.87</v>
      </c>
    </row>
    <row r="112">
      <c r="A112" t="inlineStr" s="7">
        <is>
          <t xml:space="preserve">Jun 2026</t>
        </is>
      </c>
      <c r="B112" s="8">
        <f>B85-B84</f>
        <v>1554.24</v>
      </c>
      <c r="C112" s="8">
        <f>C85-C84</f>
        <v>583.95</v>
      </c>
      <c r="D112" s="8">
        <f>D85-D84</f>
        <v>272.95</v>
      </c>
      <c r="E112" s="8">
        <f>E85-E84</f>
        <v>63.68</v>
      </c>
      <c r="F112" s="8">
        <f>F85-F84</f>
        <v>19.33</v>
      </c>
      <c r="G112" s="8">
        <f>G85-G84</f>
        <v>30.3</v>
      </c>
      <c r="H112" s="8">
        <f>H85-H84</f>
        <v>21.93</v>
      </c>
    </row>
    <row r="113">
      <c r="A113" t="inlineStr" s="7">
        <is>
          <t xml:space="preserve">Jul 2026</t>
        </is>
      </c>
      <c r="B113" s="8">
        <f>B86-B85</f>
        <v>1563.37</v>
      </c>
      <c r="C113" s="8">
        <f>C86-C85</f>
        <v>586.72</v>
      </c>
      <c r="D113" s="8">
        <f>D86-D85</f>
        <v>274.54</v>
      </c>
      <c r="E113" s="8">
        <f>E86-E85</f>
        <v>63.94</v>
      </c>
      <c r="F113" s="8">
        <f>F86-F85</f>
        <v>19.37</v>
      </c>
      <c r="G113" s="8">
        <f>G86-G85</f>
        <v>30.38</v>
      </c>
      <c r="H113" s="8">
        <f>H86-H85</f>
        <v>21.99</v>
      </c>
    </row>
    <row r="114">
      <c r="A114" t="inlineStr" s="7">
        <is>
          <t xml:space="preserve">Aug 2026</t>
        </is>
      </c>
      <c r="B114" s="8">
        <f>B87-B86</f>
        <v>1572.55</v>
      </c>
      <c r="C114" s="8">
        <f>C87-C86</f>
        <v>589.5</v>
      </c>
      <c r="D114" s="8">
        <f>D87-D86</f>
        <v>276.15</v>
      </c>
      <c r="E114" s="8">
        <f>E87-E86</f>
        <v>64.21</v>
      </c>
      <c r="F114" s="8">
        <f>F87-F86</f>
        <v>19.41</v>
      </c>
      <c r="G114" s="8">
        <f>G87-G86</f>
        <v>30.45</v>
      </c>
      <c r="H114" s="8">
        <f>H87-H86</f>
        <v>22.05</v>
      </c>
    </row>
    <row r="115">
      <c r="A115" t="inlineStr" s="7">
        <is>
          <t xml:space="preserve">Sep 2026</t>
        </is>
      </c>
      <c r="B115" s="8">
        <f>B88-B87</f>
        <v>1581.8</v>
      </c>
      <c r="C115" s="8">
        <f>C88-C87</f>
        <v>592.29</v>
      </c>
      <c r="D115" s="8">
        <f>D88-D87</f>
        <v>277.76</v>
      </c>
      <c r="E115" s="8">
        <f>E88-E87</f>
        <v>64.48</v>
      </c>
      <c r="F115" s="8">
        <f>F88-F87</f>
        <v>19.44</v>
      </c>
      <c r="G115" s="8">
        <f>G88-G87</f>
        <v>30.53</v>
      </c>
      <c r="H115" s="8">
        <f>H88-H87</f>
        <v>22.11</v>
      </c>
    </row>
    <row r="116">
      <c r="A116" t="inlineStr" s="7">
        <is>
          <t xml:space="preserve">Oct 2026</t>
        </is>
      </c>
      <c r="B116" s="8">
        <f>B89-B88</f>
        <v>1591.1</v>
      </c>
      <c r="C116" s="8">
        <f>C89-C88</f>
        <v>595.1</v>
      </c>
      <c r="D116" s="8">
        <f>D89-D88</f>
        <v>279.38</v>
      </c>
      <c r="E116" s="8">
        <f>E89-E88</f>
        <v>64.75</v>
      </c>
      <c r="F116" s="8">
        <f>F89-F88</f>
        <v>19.48</v>
      </c>
      <c r="G116" s="8">
        <f>G89-G88</f>
        <v>30.61</v>
      </c>
      <c r="H116" s="8">
        <f>H89-H88</f>
        <v>22.17</v>
      </c>
    </row>
    <row r="117">
      <c r="A117" t="inlineStr" s="7">
        <is>
          <t xml:space="preserve">Nov 2026</t>
        </is>
      </c>
      <c r="B117" s="8">
        <f>B90-B89</f>
        <v>1600.46</v>
      </c>
      <c r="C117" s="8">
        <f>C90-C89</f>
        <v>597.92</v>
      </c>
      <c r="D117" s="8">
        <f>D90-D89</f>
        <v>281.02</v>
      </c>
      <c r="E117" s="8">
        <f>E90-E89</f>
        <v>65.02</v>
      </c>
      <c r="F117" s="8">
        <f>F90-F89</f>
        <v>19.52</v>
      </c>
      <c r="G117" s="8">
        <f>G90-G89</f>
        <v>30.68</v>
      </c>
      <c r="H117" s="8">
        <f>H90-H89</f>
        <v>22.23</v>
      </c>
    </row>
    <row r="118">
      <c r="A118" t="inlineStr" s="7">
        <is>
          <t xml:space="preserve">Dec 2026</t>
        </is>
      </c>
      <c r="B118" s="8">
        <f>B91-B90</f>
        <v>1609.88</v>
      </c>
      <c r="C118" s="8">
        <f>C91-C90</f>
        <v>600.75</v>
      </c>
      <c r="D118" s="8">
        <f>D91-D90</f>
        <v>282.66</v>
      </c>
      <c r="E118" s="8">
        <f>E91-E90</f>
        <v>65.29</v>
      </c>
      <c r="F118" s="8">
        <f>F91-F90</f>
        <v>19.56</v>
      </c>
      <c r="G118" s="8">
        <f>G91-G90</f>
        <v>30.76</v>
      </c>
      <c r="H118" s="8">
        <f>H91-H90</f>
        <v>22.29</v>
      </c>
    </row>
    <row r="119">
      <c r="A119" t="inlineStr" s="7">
        <is>
          <t xml:space="preserve">Jan 2027</t>
        </is>
      </c>
      <c r="B119" s="8">
        <f>B92-B91</f>
        <v>1619.36</v>
      </c>
      <c r="C119" s="8">
        <f>C92-C91</f>
        <v>603.6</v>
      </c>
      <c r="D119" s="8">
        <f>D92-D91</f>
        <v>284.32</v>
      </c>
      <c r="E119" s="8">
        <f>E92-E91</f>
        <v>65.56</v>
      </c>
      <c r="F119" s="8">
        <f>F92-F91</f>
        <v>19.59</v>
      </c>
      <c r="G119" s="8">
        <f>G92-G91</f>
        <v>30.84</v>
      </c>
      <c r="H119" s="8">
        <f>H92-H91</f>
        <v>22.35</v>
      </c>
    </row>
    <row r="120">
      <c r="A120" t="inlineStr" s="7">
        <is>
          <t xml:space="preserve">Feb 2027</t>
        </is>
      </c>
      <c r="B120" s="8">
        <f>B93-B92</f>
        <v>1628.9</v>
      </c>
      <c r="C120" s="8">
        <f>C93-C92</f>
        <v>606.46</v>
      </c>
      <c r="D120" s="8">
        <f>D93-D92</f>
        <v>285.98</v>
      </c>
      <c r="E120" s="8">
        <f>E93-E92</f>
        <v>65.84</v>
      </c>
      <c r="F120" s="8">
        <f>F93-F92</f>
        <v>19.63</v>
      </c>
      <c r="G120" s="8">
        <f>G93-G92</f>
        <v>30.91</v>
      </c>
      <c r="H120" s="8">
        <f>H93-H92</f>
        <v>22.41</v>
      </c>
    </row>
    <row r="121">
      <c r="A121" t="inlineStr" s="7">
        <is>
          <t xml:space="preserve">Mar 2027</t>
        </is>
      </c>
      <c r="B121" s="8">
        <f>B94-B93</f>
        <v>1638.49</v>
      </c>
      <c r="C121" s="8">
        <f>C94-C93</f>
        <v>609.33</v>
      </c>
      <c r="D121" s="8">
        <f>D94-D93</f>
        <v>287.66</v>
      </c>
      <c r="E121" s="8">
        <f>E94-E93</f>
        <v>66.11</v>
      </c>
      <c r="F121" s="8">
        <f>F94-F93</f>
        <v>19.67</v>
      </c>
      <c r="G121" s="8">
        <f>G94-G93</f>
        <v>30.99</v>
      </c>
      <c r="H121" s="8">
        <f>H94-H93</f>
        <v>22.47</v>
      </c>
    </row>
    <row r="122">
      <c r="A122" t="inlineStr" s="7">
        <is>
          <t xml:space="preserve">Apr 2027</t>
        </is>
      </c>
      <c r="B122" s="8">
        <f>B95-B94</f>
        <v>1648.15</v>
      </c>
      <c r="C122" s="8">
        <f>C95-C94</f>
        <v>612.22</v>
      </c>
      <c r="D122" s="8">
        <f>D95-D94</f>
        <v>289.34</v>
      </c>
      <c r="E122" s="8">
        <f>E95-E94</f>
        <v>66.39</v>
      </c>
      <c r="F122" s="8">
        <f>F95-F94</f>
        <v>19.71</v>
      </c>
      <c r="G122" s="8">
        <f>G95-G94</f>
        <v>31.07</v>
      </c>
      <c r="H122" s="8">
        <f>H95-H94</f>
        <v>22.53</v>
      </c>
    </row>
    <row r="123">
      <c r="A123" t="inlineStr" s="7">
        <is>
          <t xml:space="preserve">May 2027</t>
        </is>
      </c>
      <c r="B123" s="8">
        <f>B96-B95</f>
        <v>1657.87</v>
      </c>
      <c r="C123" s="8">
        <f>C96-C95</f>
        <v>615.13</v>
      </c>
      <c r="D123" s="8">
        <f>D96-D95</f>
        <v>291.04</v>
      </c>
      <c r="E123" s="8">
        <f>E96-E95</f>
        <v>66.66</v>
      </c>
      <c r="F123" s="8">
        <f>F96-F95</f>
        <v>19.74</v>
      </c>
      <c r="G123" s="8">
        <f>G96-G95</f>
        <v>31.14</v>
      </c>
      <c r="H123" s="8">
        <f>H96-H95</f>
        <v>22.59</v>
      </c>
    </row>
    <row r="124">
      <c r="A124" t="inlineStr" s="7">
        <is>
          <t xml:space="preserve">Jun 2027</t>
        </is>
      </c>
      <c r="B124" s="8">
        <f>B97-B96</f>
        <v>1667.65</v>
      </c>
      <c r="C124" s="8">
        <f>C97-C96</f>
        <v>618.04</v>
      </c>
      <c r="D124" s="8">
        <f>D97-D96</f>
        <v>292.75</v>
      </c>
      <c r="E124" s="8">
        <f>E97-E96</f>
        <v>66.94</v>
      </c>
      <c r="F124" s="8">
        <f>F97-F96</f>
        <v>19.78</v>
      </c>
      <c r="G124" s="8">
        <f>G97-G96</f>
        <v>31.22</v>
      </c>
      <c r="H124" s="8">
        <f>H97-H96</f>
        <v>22.66</v>
      </c>
    </row>
    <row r="125">
      <c r="A125" t="inlineStr" s="7">
        <is>
          <t xml:space="preserve">Jul 2027</t>
        </is>
      </c>
      <c r="B125" s="8">
        <f>B98-B97</f>
        <v>1677.49</v>
      </c>
      <c r="C125" s="8">
        <f>C98-C97</f>
        <v>620.97</v>
      </c>
      <c r="D125" s="8">
        <f>D98-D97</f>
        <v>294.46</v>
      </c>
      <c r="E125" s="8">
        <f>E98-E97</f>
        <v>67.22</v>
      </c>
      <c r="F125" s="8">
        <f>F98-F97</f>
        <v>19.82</v>
      </c>
      <c r="G125" s="8">
        <f>G98-G97</f>
        <v>31.3</v>
      </c>
      <c r="H125" s="8">
        <f>H98-H97</f>
        <v>22.72</v>
      </c>
    </row>
    <row r="126">
      <c r="A126" t="inlineStr" s="7">
        <is>
          <t xml:space="preserve">Aug 2027</t>
        </is>
      </c>
      <c r="B126" s="8">
        <f>B99-B98</f>
        <v>1687.4</v>
      </c>
      <c r="C126" s="8">
        <f>C99-C98</f>
        <v>623.92</v>
      </c>
      <c r="D126" s="8">
        <f>D99-D98</f>
        <v>296.19</v>
      </c>
      <c r="E126" s="8">
        <f>E99-E98</f>
        <v>67.5</v>
      </c>
      <c r="F126" s="8">
        <f>F99-F98</f>
        <v>19.86</v>
      </c>
      <c r="G126" s="8">
        <f>G99-G98</f>
        <v>31.38</v>
      </c>
      <c r="H126" s="8">
        <f>H99-H98</f>
        <v>22.78</v>
      </c>
    </row>
    <row r="127">
      <c r="A127" t="inlineStr" s="7">
        <is>
          <t xml:space="preserve">Sep 2027</t>
        </is>
      </c>
      <c r="B127" s="8">
        <f>B100-B99</f>
        <v>1697.36</v>
      </c>
      <c r="C127" s="8">
        <f>C100-C99</f>
        <v>626.88</v>
      </c>
      <c r="D127" s="8">
        <f>D100-D99</f>
        <v>297.93</v>
      </c>
      <c r="E127" s="8">
        <f>E100-E99</f>
        <v>67.79</v>
      </c>
      <c r="F127" s="8">
        <f>F100-F99</f>
        <v>19.9</v>
      </c>
      <c r="G127" s="8">
        <f>G100-G99</f>
        <v>31.46</v>
      </c>
      <c r="H127" s="8">
        <f>H100-H99</f>
        <v>22.84</v>
      </c>
    </row>
    <row r="128">
      <c r="A128" t="inlineStr" s="7">
        <is>
          <t xml:space="preserve">Oct 2027</t>
        </is>
      </c>
      <c r="B128" s="8">
        <f>B101-B100</f>
        <v>1707.39</v>
      </c>
      <c r="C128" s="8">
        <f>C101-C100</f>
        <v>629.85</v>
      </c>
      <c r="D128" s="8">
        <f>D101-D100</f>
        <v>299.68</v>
      </c>
      <c r="E128" s="8">
        <f>E101-E100</f>
        <v>68.07</v>
      </c>
      <c r="F128" s="8">
        <f>F101-F100</f>
        <v>19.93</v>
      </c>
      <c r="G128" s="8">
        <f>G101-G100</f>
        <v>31.54</v>
      </c>
      <c r="H128" s="8">
        <f>H101-H100</f>
        <v>22.9</v>
      </c>
    </row>
    <row r="129">
      <c r="A129" t="inlineStr" s="7">
        <is>
          <t xml:space="preserve">Nov 2027</t>
        </is>
      </c>
      <c r="B129" s="8">
        <f>B102-B101</f>
        <v>1717.48</v>
      </c>
      <c r="C129" s="8">
        <f>C102-C101</f>
        <v>632.84</v>
      </c>
      <c r="D129" s="8">
        <f>D102-D101</f>
        <v>301.44</v>
      </c>
      <c r="E129" s="8">
        <f>E102-E101</f>
        <v>68.35</v>
      </c>
      <c r="F129" s="8">
        <f>F102-F101</f>
        <v>19.97</v>
      </c>
      <c r="G129" s="8">
        <f>G102-G101</f>
        <v>31.62</v>
      </c>
      <c r="H129" s="8">
        <f>H102-H101</f>
        <v>22.96</v>
      </c>
    </row>
    <row r="130">
      <c r="A130" t="inlineStr" s="7">
        <is>
          <t xml:space="preserve">Dec 2027</t>
        </is>
      </c>
      <c r="B130" s="8">
        <f>B103-B102</f>
        <v>1727.64</v>
      </c>
      <c r="C130" s="8">
        <f>C103-C102</f>
        <v>635.84</v>
      </c>
      <c r="D130" s="8">
        <f>D103-D102</f>
        <v>303.21</v>
      </c>
      <c r="E130" s="8">
        <f>E103-E102</f>
        <v>68.64</v>
      </c>
      <c r="F130" s="8">
        <f>F103-F102</f>
        <v>20.01</v>
      </c>
      <c r="G130" s="8">
        <f>G103-G102</f>
        <v>31.69</v>
      </c>
      <c r="H130" s="8">
        <f>H103-H102</f>
        <v>23.03</v>
      </c>
    </row>
  </sheetData>
  <mergeCells count="29">
    <mergeCell ref="A1:M1"/>
    <mergeCell ref="A2:B2"/>
    <mergeCell ref="C2:D2"/>
    <mergeCell ref="E2:F2"/>
    <mergeCell ref="G2:H2"/>
    <mergeCell ref="I2:J2"/>
    <mergeCell ref="A3:M3"/>
    <mergeCell ref="A4:H4"/>
    <mergeCell ref="I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  <mergeCell ref="A105:M105"/>
  </mergeCells>
  <conditionalFormatting sqref="E13">
    <cfRule type="dataBar" priority="1">
      <dataBar>
        <cfvo type="num" val="0"/>
        <cfvo type="num" val="1"/>
        <color rgb="FF63C384"/>
      </dataBar>
    </cfRule>
  </conditionalFormatting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dataValidations count="2">
    <dataValidation type="list" allowBlank="1" showInputMessage="1" showErrorMessage="1" promptTitle="Pick a bank" prompt="Choose the bank from the drop-down list." sqref="B6:B205">
      <formula1>BankList</formula1>
    </dataValidation>
    <dataValidation type="list" allowBlank="1" showInputMessage="1" showErrorMessage="1" promptTitle="Pick an account" prompt="Choose the account from the drop-down list so the balance matches correctly." sqref="C6:C20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All money movements: deposits, withdrawals, transfers and interest postings. Use negative amounts for money out. Filter by any column.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🔄 Transaction Log  (use the filter arrows to search / sort)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  <c r="G5" s="6"/>
      <c r="H5" s="6"/>
      <c r="I5" s="6"/>
      <c r="J5" s="6"/>
      <c r="K5" s="6"/>
      <c r="L5" s="6"/>
      <c r="M5" s="6"/>
    </row>
    <row r="6">
      <c r="A6" s="20">
        <v>46188</v>
      </c>
      <c r="B6" t="inlineStr" s="21">
        <is>
          <t xml:space="preserve">Withdrawal</t>
        </is>
      </c>
      <c r="C6" t="inlineStr" s="21">
        <is>
          <t xml:space="preserve">Maya</t>
        </is>
      </c>
      <c r="D6" t="inlineStr" s="21">
        <is>
          <t xml:space="preserve">Maya - Savings</t>
        </is>
      </c>
      <c r="E6" s="19">
        <v>-2000</v>
      </c>
      <c r="F6" t="inlineStr" s="21">
        <is>
          <t xml:space="preserve">ATM withdrawal (example)</t>
        </is>
      </c>
    </row>
    <row r="7">
      <c r="A7" s="20">
        <v>46198</v>
      </c>
      <c r="B7" t="inlineStr" s="21">
        <is>
          <t xml:space="preserve">Transfer</t>
        </is>
      </c>
      <c r="C7" t="inlineStr" s="21">
        <is>
          <t xml:space="preserve">UNO</t>
        </is>
      </c>
      <c r="D7" t="inlineStr" s="21">
        <is>
          <t xml:space="preserve">UNO - Digi Savings</t>
        </is>
      </c>
      <c r="E7" s="19">
        <v>5000</v>
      </c>
      <c r="F7" t="inlineStr" s="21">
        <is>
          <t xml:space="preserve">Transfer in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dataValidations count="3">
    <dataValidation type="list" allowBlank="1" showInputMessage="1" showErrorMessage="1" promptTitle="Pick a type" prompt="Choose the transaction type. (Interest is added automatically - no need to record it here.)" sqref="B6:B205">
      <formula1>"Deposit,Withdrawal,Transfer,Adjustment,Fee"</formula1>
    </dataValidation>
    <dataValidation type="list" allowBlank="1" showInputMessage="1" showErrorMessage="1" promptTitle="Pick a bank" prompt="Choose the bank from the drop-down list." sqref="C6:C205">
      <formula1>BankList</formula1>
    </dataValidation>
    <dataValidation type="list" allowBlank="1" showInputMessage="1" showErrorMessage="1" promptTitle="Pick an account" prompt="Choose the account from the drop-down list." sqref="D6:D20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7" customWidth="1"/>
    <col min="9" max="9" width="15" customWidth="1"/>
    <col min="10" max="10" width="17" customWidth="1"/>
    <col min="11" max="11" width="10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Balance Today grows automatically with interest each day/month. Current Balance = Deposits + Net Transactions (money you moved); Balance Today adds the interest accrued up to today.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Current Balance</t>
        </is>
      </c>
      <c r="G5" t="inlineStr" s="6">
        <is>
          <t xml:space="preserve">Interest to Date</t>
        </is>
      </c>
      <c r="H5" t="inlineStr" s="6">
        <is>
          <t xml:space="preserve">Balance Today</t>
        </is>
      </c>
      <c r="I5" t="inlineStr" s="6">
        <is>
          <t xml:space="preserve">Interest (1 Yr)</t>
        </is>
      </c>
      <c r="J5" t="inlineStr" s="6">
        <is>
          <t xml:space="preserve">Proj. Balance (1 Yr)</t>
        </is>
      </c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SUMIFS(Transactions!$E$6:$E$205,Transactions!$D$6:$D$205,C6)</f>
        <v>-2000.0</v>
      </c>
      <c r="F6" s="8">
        <f>D6+E6</f>
        <v>48000.0</v>
      </c>
      <c r="G6" s="23">
        <f>IFERROR(VLOOKUP(C6,Interest!$D$6:$Q$19,13,FALSE),0)</f>
        <v>449.15</v>
      </c>
      <c r="H6" s="23">
        <f>IFERROR(VLOOKUP(C6,Interest!$D$6:$Q$19,14,FALSE),0)</f>
        <v>48449.15</v>
      </c>
      <c r="I6" s="8">
        <f>IFERROR(VLOOKUP(C6,Interest!$D$6:$L$19,9,FALSE),0)</f>
        <v>5047.48</v>
      </c>
      <c r="J6" s="8">
        <f>F6+I6</f>
        <v>53047.48</v>
      </c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SUMIFS(Transactions!$E$6:$E$205,Transactions!$D$6:$D$205,C7)</f>
        <v>0.0</v>
      </c>
      <c r="F7" s="8">
        <f>D7+E7</f>
        <v>100000.0</v>
      </c>
      <c r="G7" s="23">
        <f>IFERROR(VLOOKUP(C7,Interest!$D$6:$Q$19,13,FALSE),0)</f>
        <v>500.0</v>
      </c>
      <c r="H7" s="23">
        <f>IFERROR(VLOOKUP(C7,Interest!$D$6:$Q$19,14,FALSE),0)</f>
        <v>100500.0</v>
      </c>
      <c r="I7" s="8">
        <f>IFERROR(VLOOKUP(C7,Interest!$D$6:$L$19,9,FALSE),0)</f>
        <v>6167.78</v>
      </c>
      <c r="J7" s="8">
        <f>F7+I7</f>
        <v>106167.78</v>
      </c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SUMIFS(Transactions!$E$6:$E$205,Transactions!$D$6:$D$205,C8)</f>
        <v>0.0</v>
      </c>
      <c r="F8" s="8">
        <f>D8+E8</f>
        <v>100000.0</v>
      </c>
      <c r="G8" s="23">
        <f>IFERROR(VLOOKUP(C8,Interest!$D$6:$Q$19,13,FALSE),0)</f>
        <v>500.0</v>
      </c>
      <c r="H8" s="23">
        <f>IFERROR(VLOOKUP(C8,Interest!$D$6:$Q$19,14,FALSE),0)</f>
        <v>100500.0</v>
      </c>
      <c r="I8" s="8">
        <f>IFERROR(VLOOKUP(C8,Interest!$D$6:$L$19,9,FALSE),0)</f>
        <v>6167.78</v>
      </c>
      <c r="J8" s="8">
        <f>F8+I8</f>
        <v>106167.78</v>
      </c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SUMIFS(Transactions!$E$6:$E$205,Transactions!$D$6:$D$205,C9)</f>
        <v>0.0</v>
      </c>
      <c r="F9" s="8">
        <f>D9+E9</f>
        <v>25000.0</v>
      </c>
      <c r="G9" s="23">
        <f>IFERROR(VLOOKUP(C9,Interest!$D$6:$Q$19,13,FALSE),0)</f>
        <v>116.67</v>
      </c>
      <c r="H9" s="23">
        <f>IFERROR(VLOOKUP(C9,Interest!$D$6:$Q$19,14,FALSE),0)</f>
        <v>25116.67</v>
      </c>
      <c r="I9" s="8">
        <f>IFERROR(VLOOKUP(C9,Interest!$D$6:$L$19,9,FALSE),0)</f>
        <v>1436.5</v>
      </c>
      <c r="J9" s="8">
        <f>F9+I9</f>
        <v>26436.5</v>
      </c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SUMIFS(Transactions!$E$6:$E$205,Transactions!$D$6:$D$205,C10)</f>
        <v>5000.0</v>
      </c>
      <c r="F10" s="8">
        <f>D10+E10</f>
        <v>25000.0</v>
      </c>
      <c r="G10" s="23">
        <f>IFERROR(VLOOKUP(C10,Interest!$D$6:$Q$19,13,FALSE),0)</f>
        <v>81.64</v>
      </c>
      <c r="H10" s="23">
        <f>IFERROR(VLOOKUP(C10,Interest!$D$6:$Q$19,14,FALSE),0)</f>
        <v>25081.64</v>
      </c>
      <c r="I10" s="8">
        <f>IFERROR(VLOOKUP(C10,Interest!$D$6:$L$19,9,FALSE),0)</f>
        <v>890.45</v>
      </c>
      <c r="J10" s="8">
        <f>F10+I10</f>
        <v>25890.45</v>
      </c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SUMIFS(Transactions!$E$6:$E$205,Transactions!$D$6:$D$205,C11)</f>
        <v>0.0</v>
      </c>
      <c r="F11" s="8">
        <f>D11+E11</f>
        <v>50000.0</v>
      </c>
      <c r="G11" s="23">
        <f>IFERROR(VLOOKUP(C11,Interest!$D$6:$Q$19,13,FALSE),0)</f>
        <v>250.0</v>
      </c>
      <c r="H11" s="23">
        <f>IFERROR(VLOOKUP(C11,Interest!$D$6:$Q$19,14,FALSE),0)</f>
        <v>50250.0</v>
      </c>
      <c r="I11" s="8">
        <f>IFERROR(VLOOKUP(C11,Interest!$D$6:$L$19,9,FALSE),0)</f>
        <v>3083.89</v>
      </c>
      <c r="J11" s="8">
        <f>F11+I11</f>
        <v>53083.89</v>
      </c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SUMIFS(Transactions!$E$6:$E$205,Transactions!$D$6:$D$205,C12)</f>
        <v>0.0</v>
      </c>
      <c r="F12" s="8">
        <f>D12+E12</f>
        <v>50000.0</v>
      </c>
      <c r="G12" s="23">
        <f>IFERROR(VLOOKUP(C12,Interest!$D$6:$Q$19,13,FALSE),0)</f>
        <v>250.0</v>
      </c>
      <c r="H12" s="23">
        <f>IFERROR(VLOOKUP(C12,Interest!$D$6:$Q$19,14,FALSE),0)</f>
        <v>50250.0</v>
      </c>
      <c r="I12" s="8">
        <f>IFERROR(VLOOKUP(C12,Interest!$D$6:$L$19,9,FALSE),0)</f>
        <v>3083.89</v>
      </c>
      <c r="J12" s="8">
        <f>F12+I12</f>
        <v>53083.89</v>
      </c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SUMIFS(Transactions!$E$6:$E$205,Transactions!$D$6:$D$205,C13)</f>
        <v>0.0</v>
      </c>
      <c r="F13" s="8">
        <f>D13+E13</f>
        <v>10000.0</v>
      </c>
      <c r="G13" s="23">
        <f>IFERROR(VLOOKUP(C13,Interest!$D$6:$Q$19,13,FALSE),0)</f>
        <v>33.33</v>
      </c>
      <c r="H13" s="23">
        <f>IFERROR(VLOOKUP(C13,Interest!$D$6:$Q$19,14,FALSE),0)</f>
        <v>10033.33</v>
      </c>
      <c r="I13" s="8">
        <f>IFERROR(VLOOKUP(C13,Interest!$D$6:$L$19,9,FALSE),0)</f>
        <v>407.42</v>
      </c>
      <c r="J13" s="8">
        <f>F13+I13</f>
        <v>10407.42</v>
      </c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SUMIFS(Transactions!$E$6:$E$205,Transactions!$D$6:$D$205,C14)</f>
        <v>0.0</v>
      </c>
      <c r="F14" s="8">
        <f>D14+E14</f>
        <v>10000.0</v>
      </c>
      <c r="G14" s="23">
        <f>IFERROR(VLOOKUP(C14,Interest!$D$6:$Q$19,13,FALSE),0)</f>
        <v>33.33</v>
      </c>
      <c r="H14" s="23">
        <f>IFERROR(VLOOKUP(C14,Interest!$D$6:$Q$19,14,FALSE),0)</f>
        <v>10033.33</v>
      </c>
      <c r="I14" s="8">
        <f>IFERROR(VLOOKUP(C14,Interest!$D$6:$L$19,9,FALSE),0)</f>
        <v>407.42</v>
      </c>
      <c r="J14" s="8">
        <f>F14+I14</f>
        <v>10407.42</v>
      </c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SUMIFS(Transactions!$E$6:$E$205,Transactions!$D$6:$D$205,C15)</f>
        <v>0.0</v>
      </c>
      <c r="F15" s="8">
        <f>D15+E15</f>
        <v>30000.0</v>
      </c>
      <c r="G15" s="23">
        <f>IFERROR(VLOOKUP(C15,Interest!$D$6:$Q$19,13,FALSE),0)</f>
        <v>200.0</v>
      </c>
      <c r="H15" s="23">
        <f>IFERROR(VLOOKUP(C15,Interest!$D$6:$Q$19,14,FALSE),0)</f>
        <v>30200.0</v>
      </c>
      <c r="I15" s="8">
        <f>IFERROR(VLOOKUP(C15,Interest!$D$6:$L$19,9,FALSE),0)</f>
        <v>2489.99</v>
      </c>
      <c r="J15" s="8">
        <f>F15+I15</f>
        <v>32489.99</v>
      </c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SUMIFS(Transactions!$E$6:$E$205,Transactions!$D$6:$D$205,C16)</f>
        <v>0.0</v>
      </c>
      <c r="F16" s="8">
        <f>D16+E16</f>
        <v>15000.0</v>
      </c>
      <c r="G16" s="23">
        <f>IFERROR(VLOOKUP(C16,Interest!$D$6:$Q$19,13,FALSE),0)</f>
        <v>70.02</v>
      </c>
      <c r="H16" s="23">
        <f>IFERROR(VLOOKUP(C16,Interest!$D$6:$Q$19,14,FALSE),0)</f>
        <v>15070.02</v>
      </c>
      <c r="I16" s="8">
        <f>IFERROR(VLOOKUP(C16,Interest!$D$6:$L$19,9,FALSE),0)</f>
        <v>769.01</v>
      </c>
      <c r="J16" s="8">
        <f>F16+I16</f>
        <v>15769.01</v>
      </c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SUMIFS(Transactions!$E$6:$E$205,Transactions!$D$6:$D$205,C17)</f>
        <v>0.0</v>
      </c>
      <c r="F17" s="8">
        <f>D17+E17</f>
        <v>10000.0</v>
      </c>
      <c r="G17" s="23">
        <f>IFERROR(VLOOKUP(C17,Interest!$D$6:$Q$19,13,FALSE),0)</f>
        <v>21.45</v>
      </c>
      <c r="H17" s="23">
        <f>IFERROR(VLOOKUP(C17,Interest!$D$6:$Q$19,14,FALSE),0)</f>
        <v>10021.45</v>
      </c>
      <c r="I17" s="8">
        <f>IFERROR(VLOOKUP(C17,Interest!$D$6:$L$19,9,FALSE),0)</f>
        <v>232.66</v>
      </c>
      <c r="J17" s="8">
        <f>F17+I17</f>
        <v>10232.66</v>
      </c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SUMIFS(Transactions!$E$6:$E$205,Transactions!$D$6:$D$205,C18)</f>
        <v>0.0</v>
      </c>
      <c r="F18" s="8">
        <f>D18+E18</f>
        <v>12000.0</v>
      </c>
      <c r="G18" s="23">
        <f>IFERROR(VLOOKUP(C18,Interest!$D$6:$Q$19,13,FALSE),0)</f>
        <v>30.0</v>
      </c>
      <c r="H18" s="23">
        <f>IFERROR(VLOOKUP(C18,Interest!$D$6:$Q$19,14,FALSE),0)</f>
        <v>12030.0</v>
      </c>
      <c r="I18" s="8">
        <f>IFERROR(VLOOKUP(C18,Interest!$D$6:$L$19,9,FALSE),0)</f>
        <v>364.99</v>
      </c>
      <c r="J18" s="8">
        <f>F18+I18</f>
        <v>12364.99</v>
      </c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SUMIFS(Transactions!$E$6:$E$205,Transactions!$D$6:$D$205,C19)</f>
        <v>0.0</v>
      </c>
      <c r="F19" s="8">
        <f>D19+E19</f>
        <v>8000.0</v>
      </c>
      <c r="G19" s="23">
        <f>IFERROR(VLOOKUP(C19,Interest!$D$6:$Q$19,13,FALSE),0)</f>
        <v>24.25</v>
      </c>
      <c r="H19" s="23">
        <f>IFERROR(VLOOKUP(C19,Interest!$D$6:$Q$19,14,FALSE),0)</f>
        <v>8024.25</v>
      </c>
      <c r="I19" s="8">
        <f>IFERROR(VLOOKUP(C19,Interest!$D$6:$L$19,9,FALSE),0)</f>
        <v>264.26</v>
      </c>
      <c r="J19" s="8">
        <f>F19+I19</f>
        <v>8264.26</v>
      </c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3000.0</v>
      </c>
      <c r="F20" s="16">
        <f>SUM(F6:F19)</f>
        <v>493000.0</v>
      </c>
      <c r="G20" s="16">
        <f>SUM(G6:G19)</f>
        <v>2559.84</v>
      </c>
      <c r="H20" s="16">
        <f>SUM(H6:H19)</f>
        <v>495559.84</v>
      </c>
      <c r="I20" s="16">
        <f>SUM(I6:I19)</f>
        <v>30813.51</v>
      </c>
      <c r="J20" s="16">
        <f>SUM(J6:J19)</f>
        <v>523813.51</v>
      </c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4" customWidth="1"/>
    <col min="5" max="5" width="11" customWidth="1"/>
    <col min="6" max="6" width="11" customWidth="1"/>
    <col min="7" max="7" width="15" customWidth="1"/>
    <col min="8" max="8" width="11" customWidth="1"/>
    <col min="9" max="9" width="15" customWidth="1"/>
    <col min="10" max="10" width="10" customWidth="1"/>
    <col min="11" max="11" width="16" customWidth="1"/>
    <col min="12" max="12" width="15" customWidth="1"/>
    <col min="13" max="13" width="12" customWidth="1"/>
    <col min="14" max="14" width="13" customWidth="1"/>
    <col min="15" max="15" width="12" customWidth="1"/>
    <col min="16" max="16" width="16" customWidth="1"/>
    <col min="17" max="17" width="16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  <c r="N2" s="2"/>
      <c r="O2" s="2"/>
      <c r="P2" s="2"/>
      <c r="Q2" s="2"/>
    </row>
    <row r="3" ht="22" customHeight="1">
      <c r="A3" t="inlineStr" s="5">
        <is>
          <t xml:space="preserve">Interest auto-calculates and GROWS ON ITS OWN. 'Balance Today' accrues from the yellow 'Interest Start' date up to TODAY() every time you open the file - daily accounts step up each day, monthly accounts each month. Interest Start is pre-filled with your first deposit date; edit it if an account started elsewhere. Maya Savings =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ht="22" customHeight="1">
      <c r="A4" t="inlineStr" s="4">
        <is>
          <t xml:space="preserve">📈 Interest Rates, Earnings &amp; Live Balance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Period</t>
        </is>
      </c>
      <c r="J5" t="inlineStr" s="6">
        <is>
          <t xml:space="preserve">Periods / Yr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  <c r="N5" t="inlineStr" s="6">
        <is>
          <t xml:space="preserve">Interest Start</t>
        </is>
      </c>
      <c r="O5" t="inlineStr" s="6">
        <is>
          <t xml:space="preserve">Periods Elapsed</t>
        </is>
      </c>
      <c r="P5" t="inlineStr" s="6">
        <is>
          <t xml:space="preserve">Interest to Date</t>
        </is>
      </c>
      <c r="Q5" t="inlineStr" s="6">
        <is>
          <t xml:space="preserve">Balance Today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G6*H6</f>
        <v>13.15</v>
      </c>
      <c r="J6" s="10">
        <f>IF(F6="Daily",365,12)</f>
        <v>365</v>
      </c>
      <c r="K6" s="8">
        <f>G6*(1+H6)^J6</f>
        <v>53047.48</v>
      </c>
      <c r="L6" s="8">
        <f>K6-G6</f>
        <v>5047.48</v>
      </c>
      <c r="M6" s="9">
        <f>IF(F6="Daily",(1+E6/365)^(365/12),1+E6/12)</f>
        <v>1.008367</v>
      </c>
      <c r="N6" s="32">
        <v>46174</v>
      </c>
      <c r="O6" s="10">
        <f>IF(ISNUMBER(N6),IF(F6="Daily",MAX(0,TODAY()-N6),MAX(0,DATEDIF(N6,TODAY(),"m"))),0)</f>
        <v>34</v>
      </c>
      <c r="P6" s="8">
        <f>G6*((1+H6)^O6-1)</f>
        <v>449.15</v>
      </c>
      <c r="Q6" s="8">
        <f>G6+P6</f>
        <v>48449.15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G7*H7</f>
        <v>500.0</v>
      </c>
      <c r="J7" s="10">
        <f>IF(F7="Daily",365,12)</f>
        <v>12</v>
      </c>
      <c r="K7" s="8">
        <f>G7*(1+H7)^J7</f>
        <v>106167.78</v>
      </c>
      <c r="L7" s="8">
        <f>K7-G7</f>
        <v>6167.78</v>
      </c>
      <c r="M7" s="9">
        <f>IF(F7="Daily",(1+E7/365)^(365/12),1+E7/12)</f>
        <v>1.005</v>
      </c>
      <c r="N7" s="32">
        <v>46174</v>
      </c>
      <c r="O7" s="10">
        <f>IF(ISNUMBER(N7),IF(F7="Daily",MAX(0,TODAY()-N7),MAX(0,DATEDIF(N7,TODAY(),"m"))),0)</f>
        <v>1</v>
      </c>
      <c r="P7" s="8">
        <f>G7*((1+H7)^O7-1)</f>
        <v>500.0</v>
      </c>
      <c r="Q7" s="8">
        <f>G7+P7</f>
        <v>100500.0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G8*H8</f>
        <v>500.0</v>
      </c>
      <c r="J8" s="10">
        <f>IF(F8="Daily",365,12)</f>
        <v>12</v>
      </c>
      <c r="K8" s="8">
        <f>G8*(1+H8)^J8</f>
        <v>106167.78</v>
      </c>
      <c r="L8" s="8">
        <f>K8-G8</f>
        <v>6167.78</v>
      </c>
      <c r="M8" s="9">
        <f>IF(F8="Daily",(1+E8/365)^(365/12),1+E8/12)</f>
        <v>1.005</v>
      </c>
      <c r="N8" s="32">
        <v>46174</v>
      </c>
      <c r="O8" s="10">
        <f>IF(ISNUMBER(N8),IF(F8="Daily",MAX(0,TODAY()-N8),MAX(0,DATEDIF(N8,TODAY(),"m"))),0)</f>
        <v>1</v>
      </c>
      <c r="P8" s="8">
        <f>G8*((1+H8)^O8-1)</f>
        <v>500.0</v>
      </c>
      <c r="Q8" s="8">
        <f>G8+P8</f>
        <v>100500.0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G9*H9</f>
        <v>116.67</v>
      </c>
      <c r="J9" s="10">
        <f>IF(F9="Daily",365,12)</f>
        <v>12</v>
      </c>
      <c r="K9" s="8">
        <f>G9*(1+H9)^J9</f>
        <v>26436.5</v>
      </c>
      <c r="L9" s="8">
        <f>K9-G9</f>
        <v>1436.5</v>
      </c>
      <c r="M9" s="9">
        <f>IF(F9="Daily",(1+E9/365)^(365/12),1+E9/12)</f>
        <v>1.00466667</v>
      </c>
      <c r="N9" s="32">
        <v>46174</v>
      </c>
      <c r="O9" s="10">
        <f>IF(ISNUMBER(N9),IF(F9="Daily",MAX(0,TODAY()-N9),MAX(0,DATEDIF(N9,TODAY(),"m"))),0)</f>
        <v>1</v>
      </c>
      <c r="P9" s="8">
        <f>G9*((1+H9)^O9-1)</f>
        <v>116.67</v>
      </c>
      <c r="Q9" s="8">
        <f>G9+P9</f>
        <v>25116.67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G10*H10</f>
        <v>2.4</v>
      </c>
      <c r="J10" s="10">
        <f>IF(F10="Daily",365,12)</f>
        <v>365</v>
      </c>
      <c r="K10" s="8">
        <f>G10*(1+H10)^J10</f>
        <v>25890.45</v>
      </c>
      <c r="L10" s="8">
        <f>K10-G10</f>
        <v>890.45</v>
      </c>
      <c r="M10" s="9">
        <f>IF(F10="Daily",(1+E10/365)^(365/12),1+E10/12)</f>
        <v>1.00292078</v>
      </c>
      <c r="N10" s="32">
        <v>46174</v>
      </c>
      <c r="O10" s="10">
        <f>IF(ISNUMBER(N10),IF(F10="Daily",MAX(0,TODAY()-N10),MAX(0,DATEDIF(N10,TODAY(),"m"))),0)</f>
        <v>34</v>
      </c>
      <c r="P10" s="8">
        <f>G10*((1+H10)^O10-1)</f>
        <v>81.64</v>
      </c>
      <c r="Q10" s="8">
        <f>G10+P10</f>
        <v>25081.64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G11*H11</f>
        <v>250.0</v>
      </c>
      <c r="J11" s="10">
        <f>IF(F11="Daily",365,12)</f>
        <v>12</v>
      </c>
      <c r="K11" s="8">
        <f>G11*(1+H11)^J11</f>
        <v>53083.89</v>
      </c>
      <c r="L11" s="8">
        <f>K11-G11</f>
        <v>3083.89</v>
      </c>
      <c r="M11" s="9">
        <f>IF(F11="Daily",(1+E11/365)^(365/12),1+E11/12)</f>
        <v>1.005</v>
      </c>
      <c r="N11" s="32">
        <v>46174</v>
      </c>
      <c r="O11" s="10">
        <f>IF(ISNUMBER(N11),IF(F11="Daily",MAX(0,TODAY()-N11),MAX(0,DATEDIF(N11,TODAY(),"m"))),0)</f>
        <v>1</v>
      </c>
      <c r="P11" s="8">
        <f>G11*((1+H11)^O11-1)</f>
        <v>250.0</v>
      </c>
      <c r="Q11" s="8">
        <f>G11+P11</f>
        <v>50250.0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G12*H12</f>
        <v>250.0</v>
      </c>
      <c r="J12" s="10">
        <f>IF(F12="Daily",365,12)</f>
        <v>12</v>
      </c>
      <c r="K12" s="8">
        <f>G12*(1+H12)^J12</f>
        <v>53083.89</v>
      </c>
      <c r="L12" s="8">
        <f>K12-G12</f>
        <v>3083.89</v>
      </c>
      <c r="M12" s="9">
        <f>IF(F12="Daily",(1+E12/365)^(365/12),1+E12/12)</f>
        <v>1.005</v>
      </c>
      <c r="N12" s="32">
        <v>46174</v>
      </c>
      <c r="O12" s="10">
        <f>IF(ISNUMBER(N12),IF(F12="Daily",MAX(0,TODAY()-N12),MAX(0,DATEDIF(N12,TODAY(),"m"))),0)</f>
        <v>1</v>
      </c>
      <c r="P12" s="8">
        <f>G12*((1+H12)^O12-1)</f>
        <v>250.0</v>
      </c>
      <c r="Q12" s="8">
        <f>G12+P12</f>
        <v>50250.0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G13*H13</f>
        <v>33.33</v>
      </c>
      <c r="J13" s="10">
        <f>IF(F13="Daily",365,12)</f>
        <v>12</v>
      </c>
      <c r="K13" s="8">
        <f>G13*(1+H13)^J13</f>
        <v>10407.42</v>
      </c>
      <c r="L13" s="8">
        <f>K13-G13</f>
        <v>407.42</v>
      </c>
      <c r="M13" s="9">
        <f>IF(F13="Daily",(1+E13/365)^(365/12),1+E13/12)</f>
        <v>1.00333333</v>
      </c>
      <c r="N13" s="32">
        <v>46174</v>
      </c>
      <c r="O13" s="10">
        <f>IF(ISNUMBER(N13),IF(F13="Daily",MAX(0,TODAY()-N13),MAX(0,DATEDIF(N13,TODAY(),"m"))),0)</f>
        <v>1</v>
      </c>
      <c r="P13" s="8">
        <f>G13*((1+H13)^O13-1)</f>
        <v>33.33</v>
      </c>
      <c r="Q13" s="8">
        <f>G13+P13</f>
        <v>10033.33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G14*H14</f>
        <v>33.33</v>
      </c>
      <c r="J14" s="10">
        <f>IF(F14="Daily",365,12)</f>
        <v>12</v>
      </c>
      <c r="K14" s="8">
        <f>G14*(1+H14)^J14</f>
        <v>10407.42</v>
      </c>
      <c r="L14" s="8">
        <f>K14-G14</f>
        <v>407.42</v>
      </c>
      <c r="M14" s="9">
        <f>IF(F14="Daily",(1+E14/365)^(365/12),1+E14/12)</f>
        <v>1.00333333</v>
      </c>
      <c r="N14" s="32">
        <v>46174</v>
      </c>
      <c r="O14" s="10">
        <f>IF(ISNUMBER(N14),IF(F14="Daily",MAX(0,TODAY()-N14),MAX(0,DATEDIF(N14,TODAY(),"m"))),0)</f>
        <v>1</v>
      </c>
      <c r="P14" s="8">
        <f>G14*((1+H14)^O14-1)</f>
        <v>33.33</v>
      </c>
      <c r="Q14" s="8">
        <f>G14+P14</f>
        <v>10033.33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G15*H15</f>
        <v>200.0</v>
      </c>
      <c r="J15" s="10">
        <f>IF(F15="Daily",365,12)</f>
        <v>12</v>
      </c>
      <c r="K15" s="8">
        <f>G15*(1+H15)^J15</f>
        <v>32489.99</v>
      </c>
      <c r="L15" s="8">
        <f>K15-G15</f>
        <v>2489.99</v>
      </c>
      <c r="M15" s="9">
        <f>IF(F15="Daily",(1+E15/365)^(365/12),1+E15/12)</f>
        <v>1.00666667</v>
      </c>
      <c r="N15" s="32">
        <v>46174</v>
      </c>
      <c r="O15" s="10">
        <f>IF(ISNUMBER(N15),IF(F15="Daily",MAX(0,TODAY()-N15),MAX(0,DATEDIF(N15,TODAY(),"m"))),0)</f>
        <v>1</v>
      </c>
      <c r="P15" s="8">
        <f>G15*((1+H15)^O15-1)</f>
        <v>200.0</v>
      </c>
      <c r="Q15" s="8">
        <f>G15+P15</f>
        <v>30200.0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15000.0</v>
      </c>
      <c r="H16" s="9">
        <f>IF(F16="Daily",E16/365,E16/12)</f>
        <v>0.00013699</v>
      </c>
      <c r="I16" s="8">
        <f>G16*H16</f>
        <v>2.05</v>
      </c>
      <c r="J16" s="10">
        <f>IF(F16="Daily",365,12)</f>
        <v>365</v>
      </c>
      <c r="K16" s="8">
        <f>G16*(1+H16)^J16</f>
        <v>15769.01</v>
      </c>
      <c r="L16" s="8">
        <f>K16-G16</f>
        <v>769.01</v>
      </c>
      <c r="M16" s="9">
        <f>IF(F16="Daily",(1+E16/365)^(365/12),1+E16/12)</f>
        <v>1.00417507</v>
      </c>
      <c r="N16" s="32">
        <v>46174</v>
      </c>
      <c r="O16" s="10">
        <f>IF(ISNUMBER(N16),IF(F16="Daily",MAX(0,TODAY()-N16),MAX(0,DATEDIF(N16,TODAY(),"m"))),0)</f>
        <v>34</v>
      </c>
      <c r="P16" s="8">
        <f>G16*((1+H16)^O16-1)</f>
        <v>70.02</v>
      </c>
      <c r="Q16" s="8">
        <f>G16+P16</f>
        <v>15070.02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G17*H17</f>
        <v>0.63</v>
      </c>
      <c r="J17" s="10">
        <f>IF(F17="Daily",365,12)</f>
        <v>365</v>
      </c>
      <c r="K17" s="8">
        <f>G17*(1+H17)^J17</f>
        <v>10232.66</v>
      </c>
      <c r="L17" s="8">
        <f>K17-G17</f>
        <v>232.66</v>
      </c>
      <c r="M17" s="9">
        <f>IF(F17="Daily",(1+E17/365)^(365/12),1+E17/12)</f>
        <v>1.00191844</v>
      </c>
      <c r="N17" s="32">
        <v>46174</v>
      </c>
      <c r="O17" s="10">
        <f>IF(ISNUMBER(N17),IF(F17="Daily",MAX(0,TODAY()-N17),MAX(0,DATEDIF(N17,TODAY(),"m"))),0)</f>
        <v>34</v>
      </c>
      <c r="P17" s="8">
        <f>G17*((1+H17)^O17-1)</f>
        <v>21.45</v>
      </c>
      <c r="Q17" s="8">
        <f>G17+P17</f>
        <v>10021.45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G18*H18</f>
        <v>30.0</v>
      </c>
      <c r="J18" s="10">
        <f>IF(F18="Daily",365,12)</f>
        <v>12</v>
      </c>
      <c r="K18" s="8">
        <f>G18*(1+H18)^J18</f>
        <v>12364.99</v>
      </c>
      <c r="L18" s="8">
        <f>K18-G18</f>
        <v>364.99</v>
      </c>
      <c r="M18" s="9">
        <f>IF(F18="Daily",(1+E18/365)^(365/12),1+E18/12)</f>
        <v>1.0025</v>
      </c>
      <c r="N18" s="32">
        <v>46174</v>
      </c>
      <c r="O18" s="10">
        <f>IF(ISNUMBER(N18),IF(F18="Daily",MAX(0,TODAY()-N18),MAX(0,DATEDIF(N18,TODAY(),"m"))),0)</f>
        <v>1</v>
      </c>
      <c r="P18" s="8">
        <f>G18*((1+H18)^O18-1)</f>
        <v>30.0</v>
      </c>
      <c r="Q18" s="8">
        <f>G18+P18</f>
        <v>12030.0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G19*H19</f>
        <v>0.71</v>
      </c>
      <c r="J19" s="10">
        <f>IF(F19="Daily",365,12)</f>
        <v>365</v>
      </c>
      <c r="K19" s="8">
        <f>G19*(1+H19)^J19</f>
        <v>8264.26</v>
      </c>
      <c r="L19" s="8">
        <f>K19-G19</f>
        <v>264.26</v>
      </c>
      <c r="M19" s="9">
        <f>IF(F19="Daily",(1+E19/365)^(365/12),1+E19/12)</f>
        <v>1.00271188</v>
      </c>
      <c r="N19" s="32">
        <v>46174</v>
      </c>
      <c r="O19" s="10">
        <f>IF(ISNUMBER(N19),IF(F19="Daily",MAX(0,TODAY()-N19),MAX(0,DATEDIF(N19,TODAY(),"m"))),0)</f>
        <v>34</v>
      </c>
      <c r="P19" s="8">
        <f>G19*((1+H19)^O19-1)</f>
        <v>24.25</v>
      </c>
      <c r="Q19" s="8">
        <f>G19+P19</f>
        <v>8024.25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493000.0</v>
      </c>
      <c r="H20" s="15"/>
      <c r="I20" s="16">
        <f>SUM(I6:I19)</f>
        <v>1932.28</v>
      </c>
      <c r="J20" s="15"/>
      <c r="K20" s="16">
        <f>SUM(K6:K19)</f>
        <v>523813.51</v>
      </c>
      <c r="L20" s="16">
        <f>SUM(L6:L19)</f>
        <v>30813.51</v>
      </c>
      <c r="M20" s="15"/>
      <c r="N20" s="15"/>
      <c r="O20" s="15"/>
      <c r="P20" s="16">
        <f>SUM(P6:P19)</f>
        <v>2559.84</v>
      </c>
      <c r="Q20" s="16">
        <f>SUM(Q6:Q19)</f>
        <v>495559.84</v>
      </c>
    </row>
  </sheetData>
  <mergeCells count="8">
    <mergeCell ref="A1:Q1"/>
    <mergeCell ref="A2:B2"/>
    <mergeCell ref="C2:D2"/>
    <mergeCell ref="E2:F2"/>
    <mergeCell ref="G2:H2"/>
    <mergeCell ref="I2:J2"/>
    <mergeCell ref="A3:Q3"/>
    <mergeCell ref="A4:Q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