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45" totalsRowShown="0">
  <autoFilter ref="A5:F4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money you move here (deposits/withdrawals/transfers) - use negative amounts for money out, and the filter arrows to search. Interest earned is listed automatically further down and is already included in your Current Balance - do not edit it.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(money you move — use the filters)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  <row r="47" ht="22" customHeight="1">
      <c r="A47" t="inlineStr" s="4">
        <is>
          <t xml:space="preserve">🪙 Interest Earned  (auto-posted — do not edit)</t>
        </is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</row>
    <row r="48" ht="20" customHeight="1">
      <c r="A48" t="inlineStr" s="6">
        <is>
          <t xml:space="preserve">Date</t>
        </is>
      </c>
      <c r="B48" t="inlineStr" s="6">
        <is>
          <t xml:space="preserve">Type</t>
        </is>
      </c>
      <c r="C48" t="inlineStr" s="6">
        <is>
          <t xml:space="preserve">Bank</t>
        </is>
      </c>
      <c r="D48" t="inlineStr" s="6">
        <is>
          <t xml:space="preserve">Account</t>
        </is>
      </c>
      <c r="E48" t="inlineStr" s="6">
        <is>
          <t xml:space="preserve">Amount</t>
        </is>
      </c>
      <c r="F48" t="inlineStr" s="6">
        <is>
          <t xml:space="preserve">Notes</t>
        </is>
      </c>
    </row>
    <row r="49">
      <c r="A49" s="11">
        <f>TODAY()</f>
        <v>46208</v>
      </c>
      <c r="B49" t="inlineStr" s="7">
        <is>
          <t xml:space="preserve">Interest</t>
        </is>
      </c>
      <c r="C49" t="inlineStr" s="7">
        <is>
          <t xml:space="preserve">Maya</t>
        </is>
      </c>
      <c r="D49" t="inlineStr" s="7">
        <is>
          <t xml:space="preserve">Maya - Savings</t>
        </is>
      </c>
      <c r="E49" s="23">
        <f>IFERROR(VLOOKUP(D49,Interest!$D$6:$Q$19,13,FALSE),0)</f>
        <v>449.15</v>
      </c>
      <c r="F49" t="inlineStr" s="7">
        <is>
          <t xml:space="preserve">Interest earned to date</t>
        </is>
      </c>
    </row>
    <row r="50">
      <c r="A50" s="11">
        <f>TODAY()</f>
        <v>46208</v>
      </c>
      <c r="B50" t="inlineStr" s="7">
        <is>
          <t xml:space="preserve">Interest</t>
        </is>
      </c>
      <c r="C50" t="inlineStr" s="7">
        <is>
          <t xml:space="preserve">Maya</t>
        </is>
      </c>
      <c r="D50" t="inlineStr" s="7">
        <is>
          <t xml:space="preserve">Maya - Time Deposit 1</t>
        </is>
      </c>
      <c r="E50" s="23">
        <f>IFERROR(VLOOKUP(D50,Interest!$D$6:$Q$19,13,FALSE),0)</f>
        <v>500.0</v>
      </c>
      <c r="F50" t="inlineStr" s="7">
        <is>
          <t xml:space="preserve">Interest earned to date</t>
        </is>
      </c>
    </row>
    <row r="51">
      <c r="A51" s="11">
        <f>TODAY()</f>
        <v>46208</v>
      </c>
      <c r="B51" t="inlineStr" s="7">
        <is>
          <t xml:space="preserve">Interest</t>
        </is>
      </c>
      <c r="C51" t="inlineStr" s="7">
        <is>
          <t xml:space="preserve">Maya</t>
        </is>
      </c>
      <c r="D51" t="inlineStr" s="7">
        <is>
          <t xml:space="preserve">Maya - Time Deposit 2</t>
        </is>
      </c>
      <c r="E51" s="23">
        <f>IFERROR(VLOOKUP(D51,Interest!$D$6:$Q$19,13,FALSE),0)</f>
        <v>500.0</v>
      </c>
      <c r="F51" t="inlineStr" s="7">
        <is>
          <t xml:space="preserve">Interest earned to date</t>
        </is>
      </c>
    </row>
    <row r="52">
      <c r="A52" s="11">
        <f>TODAY()</f>
        <v>46208</v>
      </c>
      <c r="B52" t="inlineStr" s="7">
        <is>
          <t xml:space="preserve">Interest</t>
        </is>
      </c>
      <c r="C52" t="inlineStr" s="7">
        <is>
          <t xml:space="preserve">Maya</t>
        </is>
      </c>
      <c r="D52" t="inlineStr" s="7">
        <is>
          <t xml:space="preserve">Maya - Personal Goal</t>
        </is>
      </c>
      <c r="E52" s="23">
        <f>IFERROR(VLOOKUP(D52,Interest!$D$6:$Q$19,13,FALSE),0)</f>
        <v>116.67</v>
      </c>
      <c r="F52" t="inlineStr" s="7">
        <is>
          <t xml:space="preserve">Interest earned to date</t>
        </is>
      </c>
    </row>
    <row r="53">
      <c r="A53" s="11">
        <f>TODAY()</f>
        <v>46208</v>
      </c>
      <c r="B53" t="inlineStr" s="7">
        <is>
          <t xml:space="preserve">Interest</t>
        </is>
      </c>
      <c r="C53" t="inlineStr" s="7">
        <is>
          <t xml:space="preserve">UNO</t>
        </is>
      </c>
      <c r="D53" t="inlineStr" s="7">
        <is>
          <t xml:space="preserve">UNO - Digi Savings</t>
        </is>
      </c>
      <c r="E53" s="23">
        <f>IFERROR(VLOOKUP(D53,Interest!$D$6:$Q$19,13,FALSE),0)</f>
        <v>81.64</v>
      </c>
      <c r="F53" t="inlineStr" s="7">
        <is>
          <t xml:space="preserve">Interest earned to date</t>
        </is>
      </c>
    </row>
    <row r="54">
      <c r="A54" s="11">
        <f>TODAY()</f>
        <v>46208</v>
      </c>
      <c r="B54" t="inlineStr" s="7">
        <is>
          <t xml:space="preserve">Interest</t>
        </is>
      </c>
      <c r="C54" t="inlineStr" s="7">
        <is>
          <t xml:space="preserve">UNO</t>
        </is>
      </c>
      <c r="D54" t="inlineStr" s="7">
        <is>
          <t xml:space="preserve">UNO - Time Deposit 1</t>
        </is>
      </c>
      <c r="E54" s="23">
        <f>IFERROR(VLOOKUP(D54,Interest!$D$6:$Q$19,13,FALSE),0)</f>
        <v>250.0</v>
      </c>
      <c r="F54" t="inlineStr" s="7">
        <is>
          <t xml:space="preserve">Interest earned to date</t>
        </is>
      </c>
    </row>
    <row r="55">
      <c r="A55" s="11">
        <f>TODAY()</f>
        <v>46208</v>
      </c>
      <c r="B55" t="inlineStr" s="7">
        <is>
          <t xml:space="preserve">Interest</t>
        </is>
      </c>
      <c r="C55" t="inlineStr" s="7">
        <is>
          <t xml:space="preserve">UNO</t>
        </is>
      </c>
      <c r="D55" t="inlineStr" s="7">
        <is>
          <t xml:space="preserve">UNO - Time Deposit 2</t>
        </is>
      </c>
      <c r="E55" s="23">
        <f>IFERROR(VLOOKUP(D55,Interest!$D$6:$Q$19,13,FALSE),0)</f>
        <v>250.0</v>
      </c>
      <c r="F55" t="inlineStr" s="7">
        <is>
          <t xml:space="preserve">Interest earned to date</t>
        </is>
      </c>
    </row>
    <row r="56">
      <c r="A56" s="11">
        <f>TODAY()</f>
        <v>46208</v>
      </c>
      <c r="B56" t="inlineStr" s="7">
        <is>
          <t xml:space="preserve">Interest</t>
        </is>
      </c>
      <c r="C56" t="inlineStr" s="7">
        <is>
          <t xml:space="preserve">Tonik</t>
        </is>
      </c>
      <c r="D56" t="inlineStr" s="7">
        <is>
          <t xml:space="preserve">Tonik - Stash 1</t>
        </is>
      </c>
      <c r="E56" s="23">
        <f>IFERROR(VLOOKUP(D56,Interest!$D$6:$Q$19,13,FALSE),0)</f>
        <v>33.33</v>
      </c>
      <c r="F56" t="inlineStr" s="7">
        <is>
          <t xml:space="preserve">Interest earned to date</t>
        </is>
      </c>
    </row>
    <row r="57">
      <c r="A57" s="11">
        <f>TODAY()</f>
        <v>46208</v>
      </c>
      <c r="B57" t="inlineStr" s="7">
        <is>
          <t xml:space="preserve">Interest</t>
        </is>
      </c>
      <c r="C57" t="inlineStr" s="7">
        <is>
          <t xml:space="preserve">Tonik</t>
        </is>
      </c>
      <c r="D57" t="inlineStr" s="7">
        <is>
          <t xml:space="preserve">Tonik - Stash 2</t>
        </is>
      </c>
      <c r="E57" s="23">
        <f>IFERROR(VLOOKUP(D57,Interest!$D$6:$Q$19,13,FALSE),0)</f>
        <v>33.33</v>
      </c>
      <c r="F57" t="inlineStr" s="7">
        <is>
          <t xml:space="preserve">Interest earned to date</t>
        </is>
      </c>
    </row>
    <row r="58">
      <c r="A58" s="11">
        <f>TODAY()</f>
        <v>46208</v>
      </c>
      <c r="B58" t="inlineStr" s="7">
        <is>
          <t xml:space="preserve">Interest</t>
        </is>
      </c>
      <c r="C58" t="inlineStr" s="7">
        <is>
          <t xml:space="preserve">Tonik</t>
        </is>
      </c>
      <c r="D58" t="inlineStr" s="7">
        <is>
          <t xml:space="preserve">Tonik - Time Deposit</t>
        </is>
      </c>
      <c r="E58" s="23">
        <f>IFERROR(VLOOKUP(D58,Interest!$D$6:$Q$19,13,FALSE),0)</f>
        <v>200.0</v>
      </c>
      <c r="F58" t="inlineStr" s="7">
        <is>
          <t xml:space="preserve">Interest earned to date</t>
        </is>
      </c>
    </row>
    <row r="59">
      <c r="A59" s="11">
        <f>TODAY()</f>
        <v>46208</v>
      </c>
      <c r="B59" t="inlineStr" s="7">
        <is>
          <t xml:space="preserve">Interest</t>
        </is>
      </c>
      <c r="C59" t="inlineStr" s="7">
        <is>
          <t xml:space="preserve">Banko</t>
        </is>
      </c>
      <c r="D59" t="inlineStr" s="7">
        <is>
          <t xml:space="preserve">Banko - Savings</t>
        </is>
      </c>
      <c r="E59" s="23">
        <f>IFERROR(VLOOKUP(D59,Interest!$D$6:$Q$19,13,FALSE),0)</f>
        <v>70.02</v>
      </c>
      <c r="F59" t="inlineStr" s="7">
        <is>
          <t xml:space="preserve">Interest earned to date</t>
        </is>
      </c>
    </row>
    <row r="60">
      <c r="A60" s="11">
        <f>TODAY()</f>
        <v>46208</v>
      </c>
      <c r="B60" t="inlineStr" s="7">
        <is>
          <t xml:space="preserve">Interest</t>
        </is>
      </c>
      <c r="C60" t="inlineStr" s="7">
        <is>
          <t xml:space="preserve">CIMB</t>
        </is>
      </c>
      <c r="D60" t="inlineStr" s="7">
        <is>
          <t xml:space="preserve">CIMB - Savings</t>
        </is>
      </c>
      <c r="E60" s="23">
        <f>IFERROR(VLOOKUP(D60,Interest!$D$6:$Q$19,13,FALSE),0)</f>
        <v>21.45</v>
      </c>
      <c r="F60" t="inlineStr" s="7">
        <is>
          <t xml:space="preserve">Interest earned to date</t>
        </is>
      </c>
    </row>
    <row r="61">
      <c r="A61" s="11">
        <f>TODAY()</f>
        <v>46208</v>
      </c>
      <c r="B61" t="inlineStr" s="7">
        <is>
          <t xml:space="preserve">Interest</t>
        </is>
      </c>
      <c r="C61" t="inlineStr" s="7">
        <is>
          <t xml:space="preserve">GoTyme</t>
        </is>
      </c>
      <c r="D61" t="inlineStr" s="7">
        <is>
          <t xml:space="preserve">GoTyme - GoSave</t>
        </is>
      </c>
      <c r="E61" s="23">
        <f>IFERROR(VLOOKUP(D61,Interest!$D$6:$Q$19,13,FALSE),0)</f>
        <v>30.0</v>
      </c>
      <c r="F61" t="inlineStr" s="7">
        <is>
          <t xml:space="preserve">Interest earned to date</t>
        </is>
      </c>
    </row>
    <row r="62">
      <c r="A62" s="11">
        <f>TODAY()</f>
        <v>46208</v>
      </c>
      <c r="B62" t="inlineStr" s="7">
        <is>
          <t xml:space="preserve">Interest</t>
        </is>
      </c>
      <c r="C62" t="inlineStr" s="7">
        <is>
          <t xml:space="preserve">Maribank</t>
        </is>
      </c>
      <c r="D62" t="inlineStr" s="7">
        <is>
          <t xml:space="preserve">Maribank - Savings</t>
        </is>
      </c>
      <c r="E62" s="23">
        <f>IFERROR(VLOOKUP(D62,Interest!$D$6:$Q$19,13,FALSE),0)</f>
        <v>24.25</v>
      </c>
      <c r="F62" t="inlineStr" s="7">
        <is>
          <t xml:space="preserve">Interest earned to date</t>
        </is>
      </c>
    </row>
    <row r="63" ht="18" customHeight="1">
      <c r="A63" t="inlineStr" s="15">
        <is>
          <t xml:space="preserve"/>
        </is>
      </c>
      <c r="B63" t="inlineStr" s="15">
        <is>
          <t xml:space="preserve"/>
        </is>
      </c>
      <c r="C63" t="inlineStr" s="15">
        <is>
          <t xml:space="preserve"/>
        </is>
      </c>
      <c r="D63" t="inlineStr" s="15">
        <is>
          <t xml:space="preserve">Total interest</t>
        </is>
      </c>
      <c r="E63" s="16">
        <f>SUM(E49:E62)</f>
        <v>2559.84</v>
      </c>
      <c r="F63" t="inlineStr" s="15">
        <is>
          <t xml:space="preserve"/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47:M47"/>
  </mergeCells>
  <dataValidations count="3">
    <dataValidation type="list" allowBlank="1" showInputMessage="1" showErrorMessage="1" promptTitle="Pick a type" prompt="Choose the transaction type. (Interest is added automatically below - no need to record it here.)" sqref="B6:B45">
      <formula1>"Deposit,Withdrawal,Transfer,Adjustment,Fee"</formula1>
    </dataValidation>
    <dataValidation type="list" allowBlank="1" showInputMessage="1" showErrorMessage="1" promptTitle="Pick a bank" prompt="Choose the bank from the drop-down list." sqref="C6:C45">
      <formula1>BankList</formula1>
    </dataValidation>
    <dataValidation type="list" allowBlank="1" showInputMessage="1" showErrorMessage="1" promptTitle="Pick an account" prompt="Choose the account from the drop-down list." sqref="D6:D4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Current Balance = Principal (Deposits + Net Transactions) + Interest Earned. Interest is posted automatically on the Transactions tab and grows each day/month, so Current Balance rises on its own.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Earned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2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5" customWidth="1"/>
    <col min="10" max="10" width="10" hidden="1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