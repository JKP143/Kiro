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" totalsRowShown="0">
  <autoFilter ref="A5:F20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money you move here (deposits/withdrawals/transfers) - use negative amounts for money out, and the filter arrows to search. Interest earned is listed automatically further down and is already included in your Current Balance - do not edit it.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(money you move — use the filters)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  <row r="22" ht="22" customHeight="1">
      <c r="A22" t="inlineStr" s="4">
        <is>
          <t xml:space="preserve">🪙 Interest Earned  (auto-posted — do not edit)</t>
        </is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20" customHeight="1">
      <c r="A23" t="inlineStr" s="6">
        <is>
          <t xml:space="preserve">Date</t>
        </is>
      </c>
      <c r="B23" t="inlineStr" s="6">
        <is>
          <t xml:space="preserve">Type</t>
        </is>
      </c>
      <c r="C23" t="inlineStr" s="6">
        <is>
          <t xml:space="preserve">Bank</t>
        </is>
      </c>
      <c r="D23" t="inlineStr" s="6">
        <is>
          <t xml:space="preserve">Account</t>
        </is>
      </c>
      <c r="E23" t="inlineStr" s="6">
        <is>
          <t xml:space="preserve">Amount</t>
        </is>
      </c>
      <c r="F23" t="inlineStr" s="6">
        <is>
          <t xml:space="preserve">Notes</t>
        </is>
      </c>
    </row>
    <row r="24">
      <c r="A24" s="11">
        <f>TODAY()</f>
        <v>46208</v>
      </c>
      <c r="B24" t="inlineStr" s="7">
        <is>
          <t xml:space="preserve">Interest</t>
        </is>
      </c>
      <c r="C24" t="inlineStr" s="7">
        <is>
          <t xml:space="preserve">Maya</t>
        </is>
      </c>
      <c r="D24" t="inlineStr" s="7">
        <is>
          <t xml:space="preserve">Maya - Savings</t>
        </is>
      </c>
      <c r="E24" s="23">
        <f>IFERROR(VLOOKUP(D24,Interest!$D$6:$Q$19,13,FALSE),0)</f>
        <v>449.15</v>
      </c>
      <c r="F24" t="inlineStr" s="7">
        <is>
          <t xml:space="preserve">Interest earned to date</t>
        </is>
      </c>
    </row>
    <row r="25">
      <c r="A25" s="11">
        <f>TODAY()</f>
        <v>46208</v>
      </c>
      <c r="B25" t="inlineStr" s="7">
        <is>
          <t xml:space="preserve">Interest</t>
        </is>
      </c>
      <c r="C25" t="inlineStr" s="7">
        <is>
          <t xml:space="preserve">Maya</t>
        </is>
      </c>
      <c r="D25" t="inlineStr" s="7">
        <is>
          <t xml:space="preserve">Maya - Time Deposit 1</t>
        </is>
      </c>
      <c r="E25" s="23">
        <f>IFERROR(VLOOKUP(D25,Interest!$D$6:$Q$19,13,FALSE),0)</f>
        <v>500.0</v>
      </c>
      <c r="F25" t="inlineStr" s="7">
        <is>
          <t xml:space="preserve">Interest earned to date</t>
        </is>
      </c>
    </row>
    <row r="26">
      <c r="A26" s="11">
        <f>TODAY()</f>
        <v>46208</v>
      </c>
      <c r="B26" t="inlineStr" s="7">
        <is>
          <t xml:space="preserve">Interest</t>
        </is>
      </c>
      <c r="C26" t="inlineStr" s="7">
        <is>
          <t xml:space="preserve">Maya</t>
        </is>
      </c>
      <c r="D26" t="inlineStr" s="7">
        <is>
          <t xml:space="preserve">Maya - Time Deposit 2</t>
        </is>
      </c>
      <c r="E26" s="23">
        <f>IFERROR(VLOOKUP(D26,Interest!$D$6:$Q$19,13,FALSE),0)</f>
        <v>500.0</v>
      </c>
      <c r="F26" t="inlineStr" s="7">
        <is>
          <t xml:space="preserve">Interest earned to date</t>
        </is>
      </c>
    </row>
    <row r="27">
      <c r="A27" s="11">
        <f>TODAY()</f>
        <v>46208</v>
      </c>
      <c r="B27" t="inlineStr" s="7">
        <is>
          <t xml:space="preserve">Interest</t>
        </is>
      </c>
      <c r="C27" t="inlineStr" s="7">
        <is>
          <t xml:space="preserve">Maya</t>
        </is>
      </c>
      <c r="D27" t="inlineStr" s="7">
        <is>
          <t xml:space="preserve">Maya - Personal Goal</t>
        </is>
      </c>
      <c r="E27" s="23">
        <f>IFERROR(VLOOKUP(D27,Interest!$D$6:$Q$19,13,FALSE),0)</f>
        <v>116.67</v>
      </c>
      <c r="F27" t="inlineStr" s="7">
        <is>
          <t xml:space="preserve">Interest earned to date</t>
        </is>
      </c>
    </row>
    <row r="28">
      <c r="A28" s="11">
        <f>TODAY()</f>
        <v>46208</v>
      </c>
      <c r="B28" t="inlineStr" s="7">
        <is>
          <t xml:space="preserve">Interest</t>
        </is>
      </c>
      <c r="C28" t="inlineStr" s="7">
        <is>
          <t xml:space="preserve">UNO</t>
        </is>
      </c>
      <c r="D28" t="inlineStr" s="7">
        <is>
          <t xml:space="preserve">UNO - Digi Savings</t>
        </is>
      </c>
      <c r="E28" s="23">
        <f>IFERROR(VLOOKUP(D28,Interest!$D$6:$Q$19,13,FALSE),0)</f>
        <v>81.64</v>
      </c>
      <c r="F28" t="inlineStr" s="7">
        <is>
          <t xml:space="preserve">Interest earned to date</t>
        </is>
      </c>
    </row>
    <row r="29">
      <c r="A29" s="11">
        <f>TODAY()</f>
        <v>46208</v>
      </c>
      <c r="B29" t="inlineStr" s="7">
        <is>
          <t xml:space="preserve">Interest</t>
        </is>
      </c>
      <c r="C29" t="inlineStr" s="7">
        <is>
          <t xml:space="preserve">UNO</t>
        </is>
      </c>
      <c r="D29" t="inlineStr" s="7">
        <is>
          <t xml:space="preserve">UNO - Time Deposit 1</t>
        </is>
      </c>
      <c r="E29" s="23">
        <f>IFERROR(VLOOKUP(D29,Interest!$D$6:$Q$19,13,FALSE),0)</f>
        <v>250.0</v>
      </c>
      <c r="F29" t="inlineStr" s="7">
        <is>
          <t xml:space="preserve">Interest earned to date</t>
        </is>
      </c>
    </row>
    <row r="30">
      <c r="A30" s="11">
        <f>TODAY()</f>
        <v>46208</v>
      </c>
      <c r="B30" t="inlineStr" s="7">
        <is>
          <t xml:space="preserve">Interest</t>
        </is>
      </c>
      <c r="C30" t="inlineStr" s="7">
        <is>
          <t xml:space="preserve">UNO</t>
        </is>
      </c>
      <c r="D30" t="inlineStr" s="7">
        <is>
          <t xml:space="preserve">UNO - Time Deposit 2</t>
        </is>
      </c>
      <c r="E30" s="23">
        <f>IFERROR(VLOOKUP(D30,Interest!$D$6:$Q$19,13,FALSE),0)</f>
        <v>250.0</v>
      </c>
      <c r="F30" t="inlineStr" s="7">
        <is>
          <t xml:space="preserve">Interest earned to date</t>
        </is>
      </c>
    </row>
    <row r="31">
      <c r="A31" s="11">
        <f>TODAY()</f>
        <v>46208</v>
      </c>
      <c r="B31" t="inlineStr" s="7">
        <is>
          <t xml:space="preserve">Interest</t>
        </is>
      </c>
      <c r="C31" t="inlineStr" s="7">
        <is>
          <t xml:space="preserve">Tonik</t>
        </is>
      </c>
      <c r="D31" t="inlineStr" s="7">
        <is>
          <t xml:space="preserve">Tonik - Stash 1</t>
        </is>
      </c>
      <c r="E31" s="23">
        <f>IFERROR(VLOOKUP(D31,Interest!$D$6:$Q$19,13,FALSE),0)</f>
        <v>33.33</v>
      </c>
      <c r="F31" t="inlineStr" s="7">
        <is>
          <t xml:space="preserve">Interest earned to date</t>
        </is>
      </c>
    </row>
    <row r="32">
      <c r="A32" s="11">
        <f>TODAY()</f>
        <v>46208</v>
      </c>
      <c r="B32" t="inlineStr" s="7">
        <is>
          <t xml:space="preserve">Interest</t>
        </is>
      </c>
      <c r="C32" t="inlineStr" s="7">
        <is>
          <t xml:space="preserve">Tonik</t>
        </is>
      </c>
      <c r="D32" t="inlineStr" s="7">
        <is>
          <t xml:space="preserve">Tonik - Stash 2</t>
        </is>
      </c>
      <c r="E32" s="23">
        <f>IFERROR(VLOOKUP(D32,Interest!$D$6:$Q$19,13,FALSE),0)</f>
        <v>33.33</v>
      </c>
      <c r="F32" t="inlineStr" s="7">
        <is>
          <t xml:space="preserve">Interest earned to date</t>
        </is>
      </c>
    </row>
    <row r="33">
      <c r="A33" s="11">
        <f>TODAY()</f>
        <v>46208</v>
      </c>
      <c r="B33" t="inlineStr" s="7">
        <is>
          <t xml:space="preserve">Interest</t>
        </is>
      </c>
      <c r="C33" t="inlineStr" s="7">
        <is>
          <t xml:space="preserve">Tonik</t>
        </is>
      </c>
      <c r="D33" t="inlineStr" s="7">
        <is>
          <t xml:space="preserve">Tonik - Time Deposit</t>
        </is>
      </c>
      <c r="E33" s="23">
        <f>IFERROR(VLOOKUP(D33,Interest!$D$6:$Q$19,13,FALSE),0)</f>
        <v>200.0</v>
      </c>
      <c r="F33" t="inlineStr" s="7">
        <is>
          <t xml:space="preserve">Interest earned to date</t>
        </is>
      </c>
    </row>
    <row r="34">
      <c r="A34" s="11">
        <f>TODAY()</f>
        <v>46208</v>
      </c>
      <c r="B34" t="inlineStr" s="7">
        <is>
          <t xml:space="preserve">Interest</t>
        </is>
      </c>
      <c r="C34" t="inlineStr" s="7">
        <is>
          <t xml:space="preserve">Banko</t>
        </is>
      </c>
      <c r="D34" t="inlineStr" s="7">
        <is>
          <t xml:space="preserve">Banko - Savings</t>
        </is>
      </c>
      <c r="E34" s="23">
        <f>IFERROR(VLOOKUP(D34,Interest!$D$6:$Q$19,13,FALSE),0)</f>
        <v>70.02</v>
      </c>
      <c r="F34" t="inlineStr" s="7">
        <is>
          <t xml:space="preserve">Interest earned to date</t>
        </is>
      </c>
    </row>
    <row r="35">
      <c r="A35" s="11">
        <f>TODAY()</f>
        <v>46208</v>
      </c>
      <c r="B35" t="inlineStr" s="7">
        <is>
          <t xml:space="preserve">Interest</t>
        </is>
      </c>
      <c r="C35" t="inlineStr" s="7">
        <is>
          <t xml:space="preserve">CIMB</t>
        </is>
      </c>
      <c r="D35" t="inlineStr" s="7">
        <is>
          <t xml:space="preserve">CIMB - Savings</t>
        </is>
      </c>
      <c r="E35" s="23">
        <f>IFERROR(VLOOKUP(D35,Interest!$D$6:$Q$19,13,FALSE),0)</f>
        <v>21.45</v>
      </c>
      <c r="F35" t="inlineStr" s="7">
        <is>
          <t xml:space="preserve">Interest earned to date</t>
        </is>
      </c>
    </row>
    <row r="36">
      <c r="A36" s="11">
        <f>TODAY()</f>
        <v>46208</v>
      </c>
      <c r="B36" t="inlineStr" s="7">
        <is>
          <t xml:space="preserve">Interest</t>
        </is>
      </c>
      <c r="C36" t="inlineStr" s="7">
        <is>
          <t xml:space="preserve">GoTyme</t>
        </is>
      </c>
      <c r="D36" t="inlineStr" s="7">
        <is>
          <t xml:space="preserve">GoTyme - GoSave</t>
        </is>
      </c>
      <c r="E36" s="23">
        <f>IFERROR(VLOOKUP(D36,Interest!$D$6:$Q$19,13,FALSE),0)</f>
        <v>30.0</v>
      </c>
      <c r="F36" t="inlineStr" s="7">
        <is>
          <t xml:space="preserve">Interest earned to date</t>
        </is>
      </c>
    </row>
    <row r="37">
      <c r="A37" s="11">
        <f>TODAY()</f>
        <v>46208</v>
      </c>
      <c r="B37" t="inlineStr" s="7">
        <is>
          <t xml:space="preserve">Interest</t>
        </is>
      </c>
      <c r="C37" t="inlineStr" s="7">
        <is>
          <t xml:space="preserve">Maribank</t>
        </is>
      </c>
      <c r="D37" t="inlineStr" s="7">
        <is>
          <t xml:space="preserve">Maribank - Savings</t>
        </is>
      </c>
      <c r="E37" s="23">
        <f>IFERROR(VLOOKUP(D37,Interest!$D$6:$Q$19,13,FALSE),0)</f>
        <v>24.25</v>
      </c>
      <c r="F37" t="inlineStr" s="7">
        <is>
          <t xml:space="preserve">Interest earned to date</t>
        </is>
      </c>
    </row>
    <row r="38" ht="18" customHeight="1">
      <c r="A38" t="inlineStr" s="15">
        <is>
          <t xml:space="preserve"/>
        </is>
      </c>
      <c r="B38" t="inlineStr" s="15">
        <is>
          <t xml:space="preserve"/>
        </is>
      </c>
      <c r="C38" t="inlineStr" s="15">
        <is>
          <t xml:space="preserve"/>
        </is>
      </c>
      <c r="D38" t="inlineStr" s="15">
        <is>
          <t xml:space="preserve">Total interest</t>
        </is>
      </c>
      <c r="E38" s="16">
        <f>SUM(E24:E37)</f>
        <v>2559.84</v>
      </c>
      <c r="F38" t="inlineStr" s="15">
        <is>
          <t xml:space="preserve"/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22:M22"/>
  </mergeCells>
  <dataValidations count="3">
    <dataValidation type="list" allowBlank="1" showInputMessage="1" showErrorMessage="1" promptTitle="Pick a type" prompt="Choose the transaction type. (Interest is added automatically below - no need to record it here.)" sqref="B6:B20">
      <formula1>"Deposit,Withdrawal,Transfer,Adjustment,Fee"</formula1>
    </dataValidation>
    <dataValidation type="list" allowBlank="1" showInputMessage="1" showErrorMessage="1" promptTitle="Pick a bank" prompt="Choose the bank from the drop-down list." sqref="C6:C20">
      <formula1>BankList</formula1>
    </dataValidation>
    <dataValidation type="list" allowBlank="1" showInputMessage="1" showErrorMessage="1" promptTitle="Pick an account" prompt="Choose the account from the drop-down list." sqref="D6:D20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