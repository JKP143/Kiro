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&quot;PHP &quot;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15062.5</c:v>
                </c:pt>
                <c:pt idx="1">
                  <c:v>15125.387</c:v>
                </c:pt>
                <c:pt idx="2">
                  <c:v>15188.5366</c:v>
                </c:pt>
                <c:pt idx="3">
                  <c:v>15251.9499</c:v>
                </c:pt>
                <c:pt idx="4">
                  <c:v>15315.6279</c:v>
                </c:pt>
                <c:pt idx="5">
                  <c:v>15379.5717</c:v>
                </c:pt>
                <c:pt idx="6">
                  <c:v>15443.7826</c:v>
                </c:pt>
                <c:pt idx="7">
                  <c:v>15508.2615</c:v>
                </c:pt>
                <c:pt idx="8">
                  <c:v>15573.0096</c:v>
                </c:pt>
                <c:pt idx="9">
                  <c:v>15638.028</c:v>
                </c:pt>
                <c:pt idx="10">
                  <c:v>15703.3179</c:v>
                </c:pt>
                <c:pt idx="11">
                  <c:v>15768.8804</c:v>
                </c:pt>
                <c:pt idx="12">
                  <c:v>15834.7167</c:v>
                </c:pt>
                <c:pt idx="13">
                  <c:v>15900.8278</c:v>
                </c:pt>
                <c:pt idx="14">
                  <c:v>15967.2149</c:v>
                </c:pt>
                <c:pt idx="15">
                  <c:v>16033.8792</c:v>
                </c:pt>
                <c:pt idx="16">
                  <c:v>16100.8218</c:v>
                </c:pt>
                <c:pt idx="17">
                  <c:v>16168.0439</c:v>
                </c:pt>
                <c:pt idx="18">
                  <c:v>16235.5466</c:v>
                </c:pt>
                <c:pt idx="19">
                  <c:v>16303.3312</c:v>
                </c:pt>
                <c:pt idx="20">
                  <c:v>16371.3988</c:v>
                </c:pt>
                <c:pt idx="21">
                  <c:v>16439.7506</c:v>
                </c:pt>
                <c:pt idx="22">
                  <c:v>16508.3877</c:v>
                </c:pt>
                <c:pt idx="23">
                  <c:v>16577.3115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8575">
              <a:solidFill>
                <a:srgbClr val="7030A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8575">
              <a:solidFill>
                <a:srgbClr val="843C0C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Cumulative Balance (PHP)</a:t>
                </a:r>
              </a:p>
            </c:rich>
          </c:tx>
          <c:overlay val="0"/>
        </c:title>
        <c:numFmt formatCode="#,##0" sourceLinked="0"/>
        <c:crossAx val="111"/>
      </c:valAx>
    </c:plotArea>
    <c:legend>
      <c:legendPos val="r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273000.0</c:v>
                </c:pt>
                <c:pt idx="1">
                  <c:v>125000.0</c:v>
                </c:pt>
                <c:pt idx="2">
                  <c:v>50000.0</c:v>
                </c:pt>
                <c:pt idx="3">
                  <c:v>15062.5</c:v>
                </c:pt>
                <c:pt idx="4">
                  <c:v>10000.0</c:v>
                </c:pt>
                <c:pt idx="5">
                  <c:v>12000.0</c:v>
                </c:pt>
                <c:pt idx="6">
                  <c:v>8000.0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Dashboard!$I$79</c:f>
              <c:strCache>
                <c:ptCount val="1"/>
                <c:pt idx="0">
                  <c:v>Interest Earned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Dashboard!$I$80:$I$103</c:f>
              <c:numCache>
                <c:formatCode>General</c:formatCode>
                <c:ptCount val="24"/>
                <c:pt idx="0">
                  <c:v>0.0</c:v>
                </c:pt>
                <c:pt idx="1">
                  <c:v>2491.7355</c:v>
                </c:pt>
                <c:pt idx="2">
                  <c:v>2505.3423</c:v>
                </c:pt>
                <c:pt idx="3">
                  <c:v>2519.029</c:v>
                </c:pt>
                <c:pt idx="4">
                  <c:v>2532.7962</c:v>
                </c:pt>
                <c:pt idx="5">
                  <c:v>2546.6443</c:v>
                </c:pt>
                <c:pt idx="6">
                  <c:v>2560.5738</c:v>
                </c:pt>
                <c:pt idx="7">
                  <c:v>2574.5853</c:v>
                </c:pt>
                <c:pt idx="8">
                  <c:v>2588.6792</c:v>
                </c:pt>
                <c:pt idx="9">
                  <c:v>2602.8562</c:v>
                </c:pt>
                <c:pt idx="10">
                  <c:v>2617.1167</c:v>
                </c:pt>
                <c:pt idx="11">
                  <c:v>2631.4612</c:v>
                </c:pt>
                <c:pt idx="12">
                  <c:v>2645.8903</c:v>
                </c:pt>
                <c:pt idx="13">
                  <c:v>2660.4045</c:v>
                </c:pt>
                <c:pt idx="14">
                  <c:v>2675.0044</c:v>
                </c:pt>
                <c:pt idx="15">
                  <c:v>2689.6904</c:v>
                </c:pt>
                <c:pt idx="16">
                  <c:v>2704.4633</c:v>
                </c:pt>
                <c:pt idx="17">
                  <c:v>2719.3234</c:v>
                </c:pt>
                <c:pt idx="18">
                  <c:v>2734.2713</c:v>
                </c:pt>
                <c:pt idx="19">
                  <c:v>2749.3077</c:v>
                </c:pt>
                <c:pt idx="20">
                  <c:v>2764.433</c:v>
                </c:pt>
                <c:pt idx="21">
                  <c:v>2779.6479</c:v>
                </c:pt>
                <c:pt idx="22">
                  <c:v>2794.9528</c:v>
                </c:pt>
                <c:pt idx="23">
                  <c:v>2810.3485</c:v>
                </c:pt>
              </c:numCache>
            </c:numRef>
          </c:val>
        </c:ser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Interest (PHP)</a:t>
                </a:r>
              </a:p>
            </c:rich>
          </c:tx>
          <c:overlay val="0"/>
        </c:title>
        <c:numFmt formatCode="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3" customWidth="1"/>
    <col min="4" max="4" width="13" customWidth="1"/>
    <col min="5" max="5" width="15" customWidth="1"/>
    <col min="6" max="6" width="13" customWidth="1"/>
    <col min="7" max="7" width="13" customWidth="1"/>
    <col min="8" max="8" width="13" customWidth="1"/>
    <col min="9" max="9" width="15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5" ht="18" customHeight="1">
      <c r="A5" t="inlineStr" s="25">
        <is>
          <t xml:space="preserve">Total Balance (All Accounts)</t>
        </is>
      </c>
      <c r="B5" s="25"/>
      <c r="C5" s="25"/>
      <c r="D5" s="25"/>
      <c r="E5" s="26">
        <f>SUM(Balance!$F$6:$F$19)</f>
        <v>493062.5</v>
      </c>
      <c r="F5" s="26"/>
      <c r="G5" s="26"/>
      <c r="H5" s="26"/>
    </row>
    <row r="6" ht="18" customHeight="1">
      <c r="A6" t="inlineStr" s="25">
        <is>
          <t xml:space="preserve">Total Deposited (All-Time)</t>
        </is>
      </c>
      <c r="B6" s="25"/>
      <c r="C6" s="25"/>
      <c r="D6" s="25"/>
      <c r="E6" s="26">
        <f>SUM(Balance!$D$6:$D$19)</f>
        <v>490000.0</v>
      </c>
      <c r="F6" s="26"/>
      <c r="G6" s="26"/>
      <c r="H6" s="26"/>
    </row>
    <row r="7" ht="18" customHeight="1">
      <c r="A7" t="inlineStr" s="25">
        <is>
          <t xml:space="preserve">Total Interest Credited</t>
        </is>
      </c>
      <c r="B7" s="25"/>
      <c r="C7" s="25"/>
      <c r="D7" s="25"/>
      <c r="E7" s="26">
        <f>SUMIFS(Transactions!$E$6:$E$205,Transactions!$B$6:$B$205,"Interest")</f>
        <v>62.5</v>
      </c>
      <c r="F7" s="26"/>
      <c r="G7" s="26"/>
      <c r="H7" s="26"/>
    </row>
    <row r="8" ht="18" customHeight="1">
      <c r="A8" t="inlineStr" s="25">
        <is>
          <t xml:space="preserve">Total Withdrawn</t>
        </is>
      </c>
      <c r="B8" s="25"/>
      <c r="C8" s="25"/>
      <c r="D8" s="25"/>
      <c r="E8" s="26">
        <f>-SUMIFS(Transactions!$E$6:$E$205,Transactions!$B$6:$B$205,"Withdrawal")</f>
        <v>2000</v>
      </c>
      <c r="F8" s="26"/>
      <c r="G8" s="26"/>
      <c r="H8" s="26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5">
        <is>
          <t xml:space="preserve">Your Savings Goal Target</t>
        </is>
      </c>
      <c r="B11" s="25"/>
      <c r="C11" s="25"/>
      <c r="D11" s="25"/>
      <c r="E11" s="28">
        <v>100000</v>
      </c>
      <c r="F11" s="28"/>
      <c r="G11" s="28"/>
      <c r="H11" s="28"/>
    </row>
    <row r="12" ht="18" customHeight="1">
      <c r="A12" t="inlineStr" s="25">
        <is>
          <t xml:space="preserve">Maya Personal Goal — Current Balance</t>
        </is>
      </c>
      <c r="B12" s="25"/>
      <c r="C12" s="25"/>
      <c r="D12" s="25"/>
      <c r="E12" s="26">
        <f>IFERROR(VLOOKUP("Maya - Personal Goal",Balance!$C$6:$F$19,4,FALSE),0)</f>
        <v>25000.0</v>
      </c>
      <c r="F12" s="26"/>
      <c r="G12" s="26"/>
      <c r="H12" s="26"/>
    </row>
    <row r="13" ht="18" customHeight="1">
      <c r="A13" t="inlineStr" s="25">
        <is>
          <t xml:space="preserve">Progress Toward Goal</t>
        </is>
      </c>
      <c r="B13" s="25"/>
      <c r="C13" s="25"/>
      <c r="D13" s="25"/>
      <c r="E13" s="27">
        <f>IFERROR(E12/E11,0)</f>
        <v>0.25</v>
      </c>
      <c r="F13" s="27"/>
      <c r="G13" s="27"/>
      <c r="H13" s="27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29">
        <f>SUMIF(Balance!$B$6:$B$19,A17,Balance!$F$6:$F$19)</f>
        <v>273000.0</v>
      </c>
    </row>
    <row r="18">
      <c r="A18" t="inlineStr" s="7">
        <is>
          <t xml:space="preserve">UNO</t>
        </is>
      </c>
      <c r="B18" s="29">
        <f>SUMIF(Balance!$B$6:$B$19,A18,Balance!$F$6:$F$19)</f>
        <v>125000.0</v>
      </c>
    </row>
    <row r="19">
      <c r="A19" t="inlineStr" s="7">
        <is>
          <t xml:space="preserve">Tonik</t>
        </is>
      </c>
      <c r="B19" s="29">
        <f>SUMIF(Balance!$B$6:$B$19,A19,Balance!$F$6:$F$19)</f>
        <v>50000.0</v>
      </c>
    </row>
    <row r="20">
      <c r="A20" t="inlineStr" s="7">
        <is>
          <t xml:space="preserve">Banko</t>
        </is>
      </c>
      <c r="B20" s="29">
        <f>SUMIF(Balance!$B$6:$B$19,A20,Balance!$F$6:$F$19)</f>
        <v>15062.5</v>
      </c>
    </row>
    <row r="21">
      <c r="A21" t="inlineStr" s="7">
        <is>
          <t xml:space="preserve">CIMB</t>
        </is>
      </c>
      <c r="B21" s="29">
        <f>SUMIF(Balance!$B$6:$B$19,A21,Balance!$F$6:$F$19)</f>
        <v>10000.0</v>
      </c>
    </row>
    <row r="22">
      <c r="A22" t="inlineStr" s="7">
        <is>
          <t xml:space="preserve">GoTyme</t>
        </is>
      </c>
      <c r="B22" s="29">
        <f>SUMIF(Balance!$B$6:$B$19,A22,Balance!$F$6:$F$19)</f>
        <v>12000.0</v>
      </c>
    </row>
    <row r="23">
      <c r="A23" t="inlineStr" s="7">
        <is>
          <t xml:space="preserve">Maribank</t>
        </is>
      </c>
      <c r="B23" s="29">
        <f>SUMIF(Balance!$B$6:$B$19,A23,Balance!$F$6:$F$19)</f>
        <v>8000.0</v>
      </c>
    </row>
    <row r="24">
      <c r="A24" t="inlineStr" s="15">
        <is>
          <t xml:space="preserve">Total</t>
        </is>
      </c>
      <c r="B24" s="16">
        <f>SUM(B17:B23)</f>
        <v>493062.5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30">
        <f>SUMPRODUCT((Interest!$A$6:$A$19=B$79)*Interest!$G$6:$G$19*Interest!$M$6:$M$19^0)</f>
        <v>273000.0</v>
      </c>
      <c r="C80" s="30">
        <f>SUMPRODUCT((Interest!$A$6:$A$19=C$79)*Interest!$G$6:$G$19*Interest!$M$6:$M$19^0)</f>
        <v>125000.0</v>
      </c>
      <c r="D80" s="30">
        <f>SUMPRODUCT((Interest!$A$6:$A$19=D$79)*Interest!$G$6:$G$19*Interest!$M$6:$M$19^0)</f>
        <v>50000.0</v>
      </c>
      <c r="E80" s="30">
        <f>SUMPRODUCT((Interest!$A$6:$A$19=E$79)*Interest!$G$6:$G$19*Interest!$M$6:$M$19^0)</f>
        <v>15062.5</v>
      </c>
      <c r="F80" s="30">
        <f>SUMPRODUCT((Interest!$A$6:$A$19=F$79)*Interest!$G$6:$G$19*Interest!$M$6:$M$19^0)</f>
        <v>10000.0</v>
      </c>
      <c r="G80" s="30">
        <f>SUMPRODUCT((Interest!$A$6:$A$19=G$79)*Interest!$G$6:$G$19*Interest!$M$6:$M$19^0)</f>
        <v>12000.0</v>
      </c>
      <c r="H80" s="30">
        <f>SUMPRODUCT((Interest!$A$6:$A$19=H$79)*Interest!$G$6:$G$19*Interest!$M$6:$M$19^0)</f>
        <v>8000.0</v>
      </c>
      <c r="I80" s="30">
        <v>0</v>
      </c>
    </row>
    <row r="81">
      <c r="A81" t="inlineStr" s="7">
        <is>
          <t xml:space="preserve">Feb 2026</t>
        </is>
      </c>
      <c r="B81" s="30">
        <f>SUMPRODUCT((Interest!$A$6:$A$19=B$79)*Interest!$G$6:$G$19*Interest!$M$6:$M$19^1)</f>
        <v>274518.28</v>
      </c>
      <c r="C81" s="30">
        <f>SUMPRODUCT((Interest!$A$6:$A$19=C$79)*Interest!$G$6:$G$19*Interest!$M$6:$M$19^1)</f>
        <v>125573.02</v>
      </c>
      <c r="D81" s="30">
        <f>SUMPRODUCT((Interest!$A$6:$A$19=D$79)*Interest!$G$6:$G$19*Interest!$M$6:$M$19^1)</f>
        <v>50266.67</v>
      </c>
      <c r="E81" s="30">
        <f>SUMPRODUCT((Interest!$A$6:$A$19=E$79)*Interest!$G$6:$G$19*Interest!$M$6:$M$19^1)</f>
        <v>15125.39</v>
      </c>
      <c r="F81" s="30">
        <f>SUMPRODUCT((Interest!$A$6:$A$19=F$79)*Interest!$G$6:$G$19*Interest!$M$6:$M$19^1)</f>
        <v>10019.18</v>
      </c>
      <c r="G81" s="30">
        <f>SUMPRODUCT((Interest!$A$6:$A$19=G$79)*Interest!$G$6:$G$19*Interest!$M$6:$M$19^1)</f>
        <v>12030.0</v>
      </c>
      <c r="H81" s="30">
        <f>SUMPRODUCT((Interest!$A$6:$A$19=H$79)*Interest!$G$6:$G$19*Interest!$M$6:$M$19^1)</f>
        <v>8021.7</v>
      </c>
      <c r="I81" s="30">
        <f>SUM(B81:H81)-SUM(B80:H80)</f>
        <v>2491.74</v>
      </c>
    </row>
    <row r="82">
      <c r="A82" t="inlineStr" s="7">
        <is>
          <t xml:space="preserve">Mar 2026</t>
        </is>
      </c>
      <c r="B82" s="30">
        <f>SUMPRODUCT((Interest!$A$6:$A$19=B$79)*Interest!$G$6:$G$19*Interest!$M$6:$M$19^2)</f>
        <v>276045.47</v>
      </c>
      <c r="C82" s="30">
        <f>SUMPRODUCT((Interest!$A$6:$A$19=C$79)*Interest!$G$6:$G$19*Interest!$M$6:$M$19^2)</f>
        <v>126148.75</v>
      </c>
      <c r="D82" s="30">
        <f>SUMPRODUCT((Interest!$A$6:$A$19=D$79)*Interest!$G$6:$G$19*Interest!$M$6:$M$19^2)</f>
        <v>50534.89</v>
      </c>
      <c r="E82" s="30">
        <f>SUMPRODUCT((Interest!$A$6:$A$19=E$79)*Interest!$G$6:$G$19*Interest!$M$6:$M$19^2)</f>
        <v>15188.54</v>
      </c>
      <c r="F82" s="30">
        <f>SUMPRODUCT((Interest!$A$6:$A$19=F$79)*Interest!$G$6:$G$19*Interest!$M$6:$M$19^2)</f>
        <v>10038.41</v>
      </c>
      <c r="G82" s="30">
        <f>SUMPRODUCT((Interest!$A$6:$A$19=G$79)*Interest!$G$6:$G$19*Interest!$M$6:$M$19^2)</f>
        <v>12060.07</v>
      </c>
      <c r="H82" s="30">
        <f>SUMPRODUCT((Interest!$A$6:$A$19=H$79)*Interest!$G$6:$G$19*Interest!$M$6:$M$19^2)</f>
        <v>8043.45</v>
      </c>
      <c r="I82" s="30">
        <f>SUM(B82:H82)-SUM(B81:H81)</f>
        <v>2505.34</v>
      </c>
    </row>
    <row r="83">
      <c r="A83" t="inlineStr" s="7">
        <is>
          <t xml:space="preserve">Apr 2026</t>
        </is>
      </c>
      <c r="B83" s="30">
        <f>SUMPRODUCT((Interest!$A$6:$A$19=B$79)*Interest!$G$6:$G$19*Interest!$M$6:$M$19^3)</f>
        <v>277581.62</v>
      </c>
      <c r="C83" s="30">
        <f>SUMPRODUCT((Interest!$A$6:$A$19=C$79)*Interest!$G$6:$G$19*Interest!$M$6:$M$19^3)</f>
        <v>126727.21</v>
      </c>
      <c r="D83" s="30">
        <f>SUMPRODUCT((Interest!$A$6:$A$19=D$79)*Interest!$G$6:$G$19*Interest!$M$6:$M$19^3)</f>
        <v>50804.68</v>
      </c>
      <c r="E83" s="30">
        <f>SUMPRODUCT((Interest!$A$6:$A$19=E$79)*Interest!$G$6:$G$19*Interest!$M$6:$M$19^3)</f>
        <v>15251.95</v>
      </c>
      <c r="F83" s="30">
        <f>SUMPRODUCT((Interest!$A$6:$A$19=F$79)*Interest!$G$6:$G$19*Interest!$M$6:$M$19^3)</f>
        <v>10057.66</v>
      </c>
      <c r="G83" s="30">
        <f>SUMPRODUCT((Interest!$A$6:$A$19=G$79)*Interest!$G$6:$G$19*Interest!$M$6:$M$19^3)</f>
        <v>12090.23</v>
      </c>
      <c r="H83" s="30">
        <f>SUMPRODUCT((Interest!$A$6:$A$19=H$79)*Interest!$G$6:$G$19*Interest!$M$6:$M$19^3)</f>
        <v>8065.26</v>
      </c>
      <c r="I83" s="30">
        <f>SUM(B83:H83)-SUM(B82:H82)</f>
        <v>2519.03</v>
      </c>
    </row>
    <row r="84">
      <c r="A84" t="inlineStr" s="7">
        <is>
          <t xml:space="preserve">May 2026</t>
        </is>
      </c>
      <c r="B84" s="30">
        <f>SUMPRODUCT((Interest!$A$6:$A$19=B$79)*Interest!$G$6:$G$19*Interest!$M$6:$M$19^4)</f>
        <v>279126.78</v>
      </c>
      <c r="C84" s="30">
        <f>SUMPRODUCT((Interest!$A$6:$A$19=C$79)*Interest!$G$6:$G$19*Interest!$M$6:$M$19^4)</f>
        <v>127308.41</v>
      </c>
      <c r="D84" s="30">
        <f>SUMPRODUCT((Interest!$A$6:$A$19=D$79)*Interest!$G$6:$G$19*Interest!$M$6:$M$19^4)</f>
        <v>51076.04</v>
      </c>
      <c r="E84" s="30">
        <f>SUMPRODUCT((Interest!$A$6:$A$19=E$79)*Interest!$G$6:$G$19*Interest!$M$6:$M$19^4)</f>
        <v>15315.63</v>
      </c>
      <c r="F84" s="30">
        <f>SUMPRODUCT((Interest!$A$6:$A$19=F$79)*Interest!$G$6:$G$19*Interest!$M$6:$M$19^4)</f>
        <v>10076.96</v>
      </c>
      <c r="G84" s="30">
        <f>SUMPRODUCT((Interest!$A$6:$A$19=G$79)*Interest!$G$6:$G$19*Interest!$M$6:$M$19^4)</f>
        <v>12120.45</v>
      </c>
      <c r="H84" s="30">
        <f>SUMPRODUCT((Interest!$A$6:$A$19=H$79)*Interest!$G$6:$G$19*Interest!$M$6:$M$19^4)</f>
        <v>8087.13</v>
      </c>
      <c r="I84" s="30">
        <f>SUM(B84:H84)-SUM(B83:H83)</f>
        <v>2532.8</v>
      </c>
    </row>
    <row r="85">
      <c r="A85" t="inlineStr" s="7">
        <is>
          <t xml:space="preserve">Jun 2026</t>
        </is>
      </c>
      <c r="B85" s="30">
        <f>SUMPRODUCT((Interest!$A$6:$A$19=B$79)*Interest!$G$6:$G$19*Interest!$M$6:$M$19^5)</f>
        <v>280681.02</v>
      </c>
      <c r="C85" s="30">
        <f>SUMPRODUCT((Interest!$A$6:$A$19=C$79)*Interest!$G$6:$G$19*Interest!$M$6:$M$19^5)</f>
        <v>127892.36</v>
      </c>
      <c r="D85" s="30">
        <f>SUMPRODUCT((Interest!$A$6:$A$19=D$79)*Interest!$G$6:$G$19*Interest!$M$6:$M$19^5)</f>
        <v>51348.99</v>
      </c>
      <c r="E85" s="30">
        <f>SUMPRODUCT((Interest!$A$6:$A$19=E$79)*Interest!$G$6:$G$19*Interest!$M$6:$M$19^5)</f>
        <v>15379.57</v>
      </c>
      <c r="F85" s="30">
        <f>SUMPRODUCT((Interest!$A$6:$A$19=F$79)*Interest!$G$6:$G$19*Interest!$M$6:$M$19^5)</f>
        <v>10096.29</v>
      </c>
      <c r="G85" s="30">
        <f>SUMPRODUCT((Interest!$A$6:$A$19=G$79)*Interest!$G$6:$G$19*Interest!$M$6:$M$19^5)</f>
        <v>12150.75</v>
      </c>
      <c r="H85" s="30">
        <f>SUMPRODUCT((Interest!$A$6:$A$19=H$79)*Interest!$G$6:$G$19*Interest!$M$6:$M$19^5)</f>
        <v>8109.07</v>
      </c>
      <c r="I85" s="30">
        <f>SUM(B85:H85)-SUM(B84:H84)</f>
        <v>2546.64</v>
      </c>
    </row>
    <row r="86">
      <c r="A86" t="inlineStr" s="7">
        <is>
          <t xml:space="preserve">Jul 2026</t>
        </is>
      </c>
      <c r="B86" s="30">
        <f>SUMPRODUCT((Interest!$A$6:$A$19=B$79)*Interest!$G$6:$G$19*Interest!$M$6:$M$19^6)</f>
        <v>282244.39</v>
      </c>
      <c r="C86" s="30">
        <f>SUMPRODUCT((Interest!$A$6:$A$19=C$79)*Interest!$G$6:$G$19*Interest!$M$6:$M$19^6)</f>
        <v>128479.08</v>
      </c>
      <c r="D86" s="30">
        <f>SUMPRODUCT((Interest!$A$6:$A$19=D$79)*Interest!$G$6:$G$19*Interest!$M$6:$M$19^6)</f>
        <v>51623.53</v>
      </c>
      <c r="E86" s="30">
        <f>SUMPRODUCT((Interest!$A$6:$A$19=E$79)*Interest!$G$6:$G$19*Interest!$M$6:$M$19^6)</f>
        <v>15443.78</v>
      </c>
      <c r="F86" s="30">
        <f>SUMPRODUCT((Interest!$A$6:$A$19=F$79)*Interest!$G$6:$G$19*Interest!$M$6:$M$19^6)</f>
        <v>10115.66</v>
      </c>
      <c r="G86" s="30">
        <f>SUMPRODUCT((Interest!$A$6:$A$19=G$79)*Interest!$G$6:$G$19*Interest!$M$6:$M$19^6)</f>
        <v>12181.13</v>
      </c>
      <c r="H86" s="30">
        <f>SUMPRODUCT((Interest!$A$6:$A$19=H$79)*Interest!$G$6:$G$19*Interest!$M$6:$M$19^6)</f>
        <v>8131.06</v>
      </c>
      <c r="I86" s="30">
        <f>SUM(B86:H86)-SUM(B85:H85)</f>
        <v>2560.57</v>
      </c>
    </row>
    <row r="87">
      <c r="A87" t="inlineStr" s="7">
        <is>
          <t xml:space="preserve">Aug 2026</t>
        </is>
      </c>
      <c r="B87" s="30">
        <f>SUMPRODUCT((Interest!$A$6:$A$19=B$79)*Interest!$G$6:$G$19*Interest!$M$6:$M$19^7)</f>
        <v>283816.94</v>
      </c>
      <c r="C87" s="30">
        <f>SUMPRODUCT((Interest!$A$6:$A$19=C$79)*Interest!$G$6:$G$19*Interest!$M$6:$M$19^7)</f>
        <v>129068.58</v>
      </c>
      <c r="D87" s="30">
        <f>SUMPRODUCT((Interest!$A$6:$A$19=D$79)*Interest!$G$6:$G$19*Interest!$M$6:$M$19^7)</f>
        <v>51899.67</v>
      </c>
      <c r="E87" s="30">
        <f>SUMPRODUCT((Interest!$A$6:$A$19=E$79)*Interest!$G$6:$G$19*Interest!$M$6:$M$19^7)</f>
        <v>15508.26</v>
      </c>
      <c r="F87" s="30">
        <f>SUMPRODUCT((Interest!$A$6:$A$19=F$79)*Interest!$G$6:$G$19*Interest!$M$6:$M$19^7)</f>
        <v>10135.07</v>
      </c>
      <c r="G87" s="30">
        <f>SUMPRODUCT((Interest!$A$6:$A$19=G$79)*Interest!$G$6:$G$19*Interest!$M$6:$M$19^7)</f>
        <v>12211.58</v>
      </c>
      <c r="H87" s="30">
        <f>SUMPRODUCT((Interest!$A$6:$A$19=H$79)*Interest!$G$6:$G$19*Interest!$M$6:$M$19^7)</f>
        <v>8153.11</v>
      </c>
      <c r="I87" s="30">
        <f>SUM(B87:H87)-SUM(B86:H86)</f>
        <v>2574.59</v>
      </c>
    </row>
    <row r="88">
      <c r="A88" t="inlineStr" s="7">
        <is>
          <t xml:space="preserve">Sep 2026</t>
        </is>
      </c>
      <c r="B88" s="30">
        <f>SUMPRODUCT((Interest!$A$6:$A$19=B$79)*Interest!$G$6:$G$19*Interest!$M$6:$M$19^8)</f>
        <v>285398.74</v>
      </c>
      <c r="C88" s="30">
        <f>SUMPRODUCT((Interest!$A$6:$A$19=C$79)*Interest!$G$6:$G$19*Interest!$M$6:$M$19^8)</f>
        <v>129660.87</v>
      </c>
      <c r="D88" s="30">
        <f>SUMPRODUCT((Interest!$A$6:$A$19=D$79)*Interest!$G$6:$G$19*Interest!$M$6:$M$19^8)</f>
        <v>52177.43</v>
      </c>
      <c r="E88" s="30">
        <f>SUMPRODUCT((Interest!$A$6:$A$19=E$79)*Interest!$G$6:$G$19*Interest!$M$6:$M$19^8)</f>
        <v>15573.01</v>
      </c>
      <c r="F88" s="30">
        <f>SUMPRODUCT((Interest!$A$6:$A$19=F$79)*Interest!$G$6:$G$19*Interest!$M$6:$M$19^8)</f>
        <v>10154.51</v>
      </c>
      <c r="G88" s="30">
        <f>SUMPRODUCT((Interest!$A$6:$A$19=G$79)*Interest!$G$6:$G$19*Interest!$M$6:$M$19^8)</f>
        <v>12242.11</v>
      </c>
      <c r="H88" s="30">
        <f>SUMPRODUCT((Interest!$A$6:$A$19=H$79)*Interest!$G$6:$G$19*Interest!$M$6:$M$19^8)</f>
        <v>8175.22</v>
      </c>
      <c r="I88" s="30">
        <f>SUM(B88:H88)-SUM(B87:H87)</f>
        <v>2588.68</v>
      </c>
    </row>
    <row r="89">
      <c r="A89" t="inlineStr" s="7">
        <is>
          <t xml:space="preserve">Oct 2026</t>
        </is>
      </c>
      <c r="B89" s="30">
        <f>SUMPRODUCT((Interest!$A$6:$A$19=B$79)*Interest!$G$6:$G$19*Interest!$M$6:$M$19^9)</f>
        <v>286989.84</v>
      </c>
      <c r="C89" s="30">
        <f>SUMPRODUCT((Interest!$A$6:$A$19=C$79)*Interest!$G$6:$G$19*Interest!$M$6:$M$19^9)</f>
        <v>130255.96</v>
      </c>
      <c r="D89" s="30">
        <f>SUMPRODUCT((Interest!$A$6:$A$19=D$79)*Interest!$G$6:$G$19*Interest!$M$6:$M$19^9)</f>
        <v>52456.82</v>
      </c>
      <c r="E89" s="30">
        <f>SUMPRODUCT((Interest!$A$6:$A$19=E$79)*Interest!$G$6:$G$19*Interest!$M$6:$M$19^9)</f>
        <v>15638.03</v>
      </c>
      <c r="F89" s="30">
        <f>SUMPRODUCT((Interest!$A$6:$A$19=F$79)*Interest!$G$6:$G$19*Interest!$M$6:$M$19^9)</f>
        <v>10173.99</v>
      </c>
      <c r="G89" s="30">
        <f>SUMPRODUCT((Interest!$A$6:$A$19=G$79)*Interest!$G$6:$G$19*Interest!$M$6:$M$19^9)</f>
        <v>12272.72</v>
      </c>
      <c r="H89" s="30">
        <f>SUMPRODUCT((Interest!$A$6:$A$19=H$79)*Interest!$G$6:$G$19*Interest!$M$6:$M$19^9)</f>
        <v>8197.39</v>
      </c>
      <c r="I89" s="30">
        <f>SUM(B89:H89)-SUM(B88:H88)</f>
        <v>2602.86</v>
      </c>
    </row>
    <row r="90">
      <c r="A90" t="inlineStr" s="7">
        <is>
          <t xml:space="preserve">Nov 2026</t>
        </is>
      </c>
      <c r="B90" s="30">
        <f>SUMPRODUCT((Interest!$A$6:$A$19=B$79)*Interest!$G$6:$G$19*Interest!$M$6:$M$19^10)</f>
        <v>288590.3</v>
      </c>
      <c r="C90" s="30">
        <f>SUMPRODUCT((Interest!$A$6:$A$19=C$79)*Interest!$G$6:$G$19*Interest!$M$6:$M$19^10)</f>
        <v>130853.88</v>
      </c>
      <c r="D90" s="30">
        <f>SUMPRODUCT((Interest!$A$6:$A$19=D$79)*Interest!$G$6:$G$19*Interest!$M$6:$M$19^10)</f>
        <v>52737.84</v>
      </c>
      <c r="E90" s="30">
        <f>SUMPRODUCT((Interest!$A$6:$A$19=E$79)*Interest!$G$6:$G$19*Interest!$M$6:$M$19^10)</f>
        <v>15703.32</v>
      </c>
      <c r="F90" s="30">
        <f>SUMPRODUCT((Interest!$A$6:$A$19=F$79)*Interest!$G$6:$G$19*Interest!$M$6:$M$19^10)</f>
        <v>10193.51</v>
      </c>
      <c r="G90" s="30">
        <f>SUMPRODUCT((Interest!$A$6:$A$19=G$79)*Interest!$G$6:$G$19*Interest!$M$6:$M$19^10)</f>
        <v>12303.4</v>
      </c>
      <c r="H90" s="30">
        <f>SUMPRODUCT((Interest!$A$6:$A$19=H$79)*Interest!$G$6:$G$19*Interest!$M$6:$M$19^10)</f>
        <v>8219.62</v>
      </c>
      <c r="I90" s="30">
        <f>SUM(B90:H90)-SUM(B89:H89)</f>
        <v>2617.12</v>
      </c>
    </row>
    <row r="91">
      <c r="A91" t="inlineStr" s="7">
        <is>
          <t xml:space="preserve">Dec 2026</t>
        </is>
      </c>
      <c r="B91" s="30">
        <f>SUMPRODUCT((Interest!$A$6:$A$19=B$79)*Interest!$G$6:$G$19*Interest!$M$6:$M$19^11)</f>
        <v>290200.18</v>
      </c>
      <c r="C91" s="30">
        <f>SUMPRODUCT((Interest!$A$6:$A$19=C$79)*Interest!$G$6:$G$19*Interest!$M$6:$M$19^11)</f>
        <v>131454.63</v>
      </c>
      <c r="D91" s="30">
        <f>SUMPRODUCT((Interest!$A$6:$A$19=D$79)*Interest!$G$6:$G$19*Interest!$M$6:$M$19^11)</f>
        <v>53020.5</v>
      </c>
      <c r="E91" s="30">
        <f>SUMPRODUCT((Interest!$A$6:$A$19=E$79)*Interest!$G$6:$G$19*Interest!$M$6:$M$19^11)</f>
        <v>15768.88</v>
      </c>
      <c r="F91" s="30">
        <f>SUMPRODUCT((Interest!$A$6:$A$19=F$79)*Interest!$G$6:$G$19*Interest!$M$6:$M$19^11)</f>
        <v>10213.06</v>
      </c>
      <c r="G91" s="30">
        <f>SUMPRODUCT((Interest!$A$6:$A$19=G$79)*Interest!$G$6:$G$19*Interest!$M$6:$M$19^11)</f>
        <v>12334.16</v>
      </c>
      <c r="H91" s="30">
        <f>SUMPRODUCT((Interest!$A$6:$A$19=H$79)*Interest!$G$6:$G$19*Interest!$M$6:$M$19^11)</f>
        <v>8241.91</v>
      </c>
      <c r="I91" s="30">
        <f>SUM(B91:H91)-SUM(B90:H90)</f>
        <v>2631.46</v>
      </c>
    </row>
    <row r="92">
      <c r="A92" t="inlineStr" s="7">
        <is>
          <t xml:space="preserve">Jan 2027</t>
        </is>
      </c>
      <c r="B92" s="30">
        <f>SUMPRODUCT((Interest!$A$6:$A$19=B$79)*Interest!$G$6:$G$19*Interest!$M$6:$M$19^12)</f>
        <v>291819.54</v>
      </c>
      <c r="C92" s="30">
        <f>SUMPRODUCT((Interest!$A$6:$A$19=C$79)*Interest!$G$6:$G$19*Interest!$M$6:$M$19^12)</f>
        <v>132058.23</v>
      </c>
      <c r="D92" s="30">
        <f>SUMPRODUCT((Interest!$A$6:$A$19=D$79)*Interest!$G$6:$G$19*Interest!$M$6:$M$19^12)</f>
        <v>53304.82</v>
      </c>
      <c r="E92" s="30">
        <f>SUMPRODUCT((Interest!$A$6:$A$19=E$79)*Interest!$G$6:$G$19*Interest!$M$6:$M$19^12)</f>
        <v>15834.72</v>
      </c>
      <c r="F92" s="30">
        <f>SUMPRODUCT((Interest!$A$6:$A$19=F$79)*Interest!$G$6:$G$19*Interest!$M$6:$M$19^12)</f>
        <v>10232.66</v>
      </c>
      <c r="G92" s="30">
        <f>SUMPRODUCT((Interest!$A$6:$A$19=G$79)*Interest!$G$6:$G$19*Interest!$M$6:$M$19^12)</f>
        <v>12364.99</v>
      </c>
      <c r="H92" s="30">
        <f>SUMPRODUCT((Interest!$A$6:$A$19=H$79)*Interest!$G$6:$G$19*Interest!$M$6:$M$19^12)</f>
        <v>8264.26</v>
      </c>
      <c r="I92" s="30">
        <f>SUM(B92:H92)-SUM(B91:H91)</f>
        <v>2645.89</v>
      </c>
    </row>
    <row r="93">
      <c r="A93" t="inlineStr" s="7">
        <is>
          <t xml:space="preserve">Feb 2027</t>
        </is>
      </c>
      <c r="B93" s="30">
        <f>SUMPRODUCT((Interest!$A$6:$A$19=B$79)*Interest!$G$6:$G$19*Interest!$M$6:$M$19^13)</f>
        <v>293448.43</v>
      </c>
      <c r="C93" s="30">
        <f>SUMPRODUCT((Interest!$A$6:$A$19=C$79)*Interest!$G$6:$G$19*Interest!$M$6:$M$19^13)</f>
        <v>132664.69</v>
      </c>
      <c r="D93" s="30">
        <f>SUMPRODUCT((Interest!$A$6:$A$19=D$79)*Interest!$G$6:$G$19*Interest!$M$6:$M$19^13)</f>
        <v>53590.8</v>
      </c>
      <c r="E93" s="30">
        <f>SUMPRODUCT((Interest!$A$6:$A$19=E$79)*Interest!$G$6:$G$19*Interest!$M$6:$M$19^13)</f>
        <v>15900.83</v>
      </c>
      <c r="F93" s="30">
        <f>SUMPRODUCT((Interest!$A$6:$A$19=F$79)*Interest!$G$6:$G$19*Interest!$M$6:$M$19^13)</f>
        <v>10252.29</v>
      </c>
      <c r="G93" s="30">
        <f>SUMPRODUCT((Interest!$A$6:$A$19=G$79)*Interest!$G$6:$G$19*Interest!$M$6:$M$19^13)</f>
        <v>12395.9</v>
      </c>
      <c r="H93" s="30">
        <f>SUMPRODUCT((Interest!$A$6:$A$19=H$79)*Interest!$G$6:$G$19*Interest!$M$6:$M$19^13)</f>
        <v>8286.67</v>
      </c>
      <c r="I93" s="30">
        <f>SUM(B93:H93)-SUM(B92:H92)</f>
        <v>2660.4</v>
      </c>
    </row>
    <row r="94">
      <c r="A94" t="inlineStr" s="7">
        <is>
          <t xml:space="preserve">Mar 2027</t>
        </is>
      </c>
      <c r="B94" s="30">
        <f>SUMPRODUCT((Interest!$A$6:$A$19=B$79)*Interest!$G$6:$G$19*Interest!$M$6:$M$19^14)</f>
        <v>295086.93</v>
      </c>
      <c r="C94" s="30">
        <f>SUMPRODUCT((Interest!$A$6:$A$19=C$79)*Interest!$G$6:$G$19*Interest!$M$6:$M$19^14)</f>
        <v>133274.02</v>
      </c>
      <c r="D94" s="30">
        <f>SUMPRODUCT((Interest!$A$6:$A$19=D$79)*Interest!$G$6:$G$19*Interest!$M$6:$M$19^14)</f>
        <v>53878.46</v>
      </c>
      <c r="E94" s="30">
        <f>SUMPRODUCT((Interest!$A$6:$A$19=E$79)*Interest!$G$6:$G$19*Interest!$M$6:$M$19^14)</f>
        <v>15967.21</v>
      </c>
      <c r="F94" s="30">
        <f>SUMPRODUCT((Interest!$A$6:$A$19=F$79)*Interest!$G$6:$G$19*Interest!$M$6:$M$19^14)</f>
        <v>10271.96</v>
      </c>
      <c r="G94" s="30">
        <f>SUMPRODUCT((Interest!$A$6:$A$19=G$79)*Interest!$G$6:$G$19*Interest!$M$6:$M$19^14)</f>
        <v>12426.89</v>
      </c>
      <c r="H94" s="30">
        <f>SUMPRODUCT((Interest!$A$6:$A$19=H$79)*Interest!$G$6:$G$19*Interest!$M$6:$M$19^14)</f>
        <v>8309.14</v>
      </c>
      <c r="I94" s="30">
        <f>SUM(B94:H94)-SUM(B93:H93)</f>
        <v>2675.0</v>
      </c>
    </row>
    <row r="95">
      <c r="A95" t="inlineStr" s="7">
        <is>
          <t xml:space="preserve">Apr 2027</t>
        </is>
      </c>
      <c r="B95" s="30">
        <f>SUMPRODUCT((Interest!$A$6:$A$19=B$79)*Interest!$G$6:$G$19*Interest!$M$6:$M$19^15)</f>
        <v>296735.08</v>
      </c>
      <c r="C95" s="30">
        <f>SUMPRODUCT((Interest!$A$6:$A$19=C$79)*Interest!$G$6:$G$19*Interest!$M$6:$M$19^15)</f>
        <v>133886.25</v>
      </c>
      <c r="D95" s="30">
        <f>SUMPRODUCT((Interest!$A$6:$A$19=D$79)*Interest!$G$6:$G$19*Interest!$M$6:$M$19^15)</f>
        <v>54167.8</v>
      </c>
      <c r="E95" s="30">
        <f>SUMPRODUCT((Interest!$A$6:$A$19=E$79)*Interest!$G$6:$G$19*Interest!$M$6:$M$19^15)</f>
        <v>16033.88</v>
      </c>
      <c r="F95" s="30">
        <f>SUMPRODUCT((Interest!$A$6:$A$19=F$79)*Interest!$G$6:$G$19*Interest!$M$6:$M$19^15)</f>
        <v>10291.66</v>
      </c>
      <c r="G95" s="30">
        <f>SUMPRODUCT((Interest!$A$6:$A$19=G$79)*Interest!$G$6:$G$19*Interest!$M$6:$M$19^15)</f>
        <v>12457.96</v>
      </c>
      <c r="H95" s="30">
        <f>SUMPRODUCT((Interest!$A$6:$A$19=H$79)*Interest!$G$6:$G$19*Interest!$M$6:$M$19^15)</f>
        <v>8331.68</v>
      </c>
      <c r="I95" s="30">
        <f>SUM(B95:H95)-SUM(B94:H94)</f>
        <v>2689.69</v>
      </c>
    </row>
    <row r="96">
      <c r="A96" t="inlineStr" s="7">
        <is>
          <t xml:space="preserve">May 2027</t>
        </is>
      </c>
      <c r="B96" s="30">
        <f>SUMPRODUCT((Interest!$A$6:$A$19=B$79)*Interest!$G$6:$G$19*Interest!$M$6:$M$19^16)</f>
        <v>298392.95</v>
      </c>
      <c r="C96" s="30">
        <f>SUMPRODUCT((Interest!$A$6:$A$19=C$79)*Interest!$G$6:$G$19*Interest!$M$6:$M$19^16)</f>
        <v>134501.37</v>
      </c>
      <c r="D96" s="30">
        <f>SUMPRODUCT((Interest!$A$6:$A$19=D$79)*Interest!$G$6:$G$19*Interest!$M$6:$M$19^16)</f>
        <v>54458.84</v>
      </c>
      <c r="E96" s="30">
        <f>SUMPRODUCT((Interest!$A$6:$A$19=E$79)*Interest!$G$6:$G$19*Interest!$M$6:$M$19^16)</f>
        <v>16100.82</v>
      </c>
      <c r="F96" s="30">
        <f>SUMPRODUCT((Interest!$A$6:$A$19=F$79)*Interest!$G$6:$G$19*Interest!$M$6:$M$19^16)</f>
        <v>10311.41</v>
      </c>
      <c r="G96" s="30">
        <f>SUMPRODUCT((Interest!$A$6:$A$19=G$79)*Interest!$G$6:$G$19*Interest!$M$6:$M$19^16)</f>
        <v>12489.11</v>
      </c>
      <c r="H96" s="30">
        <f>SUMPRODUCT((Interest!$A$6:$A$19=H$79)*Interest!$G$6:$G$19*Interest!$M$6:$M$19^16)</f>
        <v>8354.27</v>
      </c>
      <c r="I96" s="30">
        <f>SUM(B96:H96)-SUM(B95:H95)</f>
        <v>2704.46</v>
      </c>
    </row>
    <row r="97">
      <c r="A97" t="inlineStr" s="7">
        <is>
          <t xml:space="preserve">Jun 2027</t>
        </is>
      </c>
      <c r="B97" s="30">
        <f>SUMPRODUCT((Interest!$A$6:$A$19=B$79)*Interest!$G$6:$G$19*Interest!$M$6:$M$19^17)</f>
        <v>300060.6</v>
      </c>
      <c r="C97" s="30">
        <f>SUMPRODUCT((Interest!$A$6:$A$19=C$79)*Interest!$G$6:$G$19*Interest!$M$6:$M$19^17)</f>
        <v>135119.42</v>
      </c>
      <c r="D97" s="30">
        <f>SUMPRODUCT((Interest!$A$6:$A$19=D$79)*Interest!$G$6:$G$19*Interest!$M$6:$M$19^17)</f>
        <v>54751.59</v>
      </c>
      <c r="E97" s="30">
        <f>SUMPRODUCT((Interest!$A$6:$A$19=E$79)*Interest!$G$6:$G$19*Interest!$M$6:$M$19^17)</f>
        <v>16168.04</v>
      </c>
      <c r="F97" s="30">
        <f>SUMPRODUCT((Interest!$A$6:$A$19=F$79)*Interest!$G$6:$G$19*Interest!$M$6:$M$19^17)</f>
        <v>10331.19</v>
      </c>
      <c r="G97" s="30">
        <f>SUMPRODUCT((Interest!$A$6:$A$19=G$79)*Interest!$G$6:$G$19*Interest!$M$6:$M$19^17)</f>
        <v>12520.33</v>
      </c>
      <c r="H97" s="30">
        <f>SUMPRODUCT((Interest!$A$6:$A$19=H$79)*Interest!$G$6:$G$19*Interest!$M$6:$M$19^17)</f>
        <v>8376.93</v>
      </c>
      <c r="I97" s="30">
        <f>SUM(B97:H97)-SUM(B96:H96)</f>
        <v>2719.32</v>
      </c>
    </row>
    <row r="98">
      <c r="A98" t="inlineStr" s="7">
        <is>
          <t xml:space="preserve">Jul 2027</t>
        </is>
      </c>
      <c r="B98" s="30">
        <f>SUMPRODUCT((Interest!$A$6:$A$19=B$79)*Interest!$G$6:$G$19*Interest!$M$6:$M$19^18)</f>
        <v>301738.1</v>
      </c>
      <c r="C98" s="30">
        <f>SUMPRODUCT((Interest!$A$6:$A$19=C$79)*Interest!$G$6:$G$19*Interest!$M$6:$M$19^18)</f>
        <v>135740.39</v>
      </c>
      <c r="D98" s="30">
        <f>SUMPRODUCT((Interest!$A$6:$A$19=D$79)*Interest!$G$6:$G$19*Interest!$M$6:$M$19^18)</f>
        <v>55046.05</v>
      </c>
      <c r="E98" s="30">
        <f>SUMPRODUCT((Interest!$A$6:$A$19=E$79)*Interest!$G$6:$G$19*Interest!$M$6:$M$19^18)</f>
        <v>16235.55</v>
      </c>
      <c r="F98" s="30">
        <f>SUMPRODUCT((Interest!$A$6:$A$19=F$79)*Interest!$G$6:$G$19*Interest!$M$6:$M$19^18)</f>
        <v>10351.01</v>
      </c>
      <c r="G98" s="30">
        <f>SUMPRODUCT((Interest!$A$6:$A$19=G$79)*Interest!$G$6:$G$19*Interest!$M$6:$M$19^18)</f>
        <v>12551.63</v>
      </c>
      <c r="H98" s="30">
        <f>SUMPRODUCT((Interest!$A$6:$A$19=H$79)*Interest!$G$6:$G$19*Interest!$M$6:$M$19^18)</f>
        <v>8399.64</v>
      </c>
      <c r="I98" s="30">
        <f>SUM(B98:H98)-SUM(B97:H97)</f>
        <v>2734.27</v>
      </c>
    </row>
    <row r="99">
      <c r="A99" t="inlineStr" s="7">
        <is>
          <t xml:space="preserve">Aug 2027</t>
        </is>
      </c>
      <c r="B99" s="30">
        <f>SUMPRODUCT((Interest!$A$6:$A$19=B$79)*Interest!$G$6:$G$19*Interest!$M$6:$M$19^19)</f>
        <v>303425.49</v>
      </c>
      <c r="C99" s="30">
        <f>SUMPRODUCT((Interest!$A$6:$A$19=C$79)*Interest!$G$6:$G$19*Interest!$M$6:$M$19^19)</f>
        <v>136364.31</v>
      </c>
      <c r="D99" s="30">
        <f>SUMPRODUCT((Interest!$A$6:$A$19=D$79)*Interest!$G$6:$G$19*Interest!$M$6:$M$19^19)</f>
        <v>55342.24</v>
      </c>
      <c r="E99" s="30">
        <f>SUMPRODUCT((Interest!$A$6:$A$19=E$79)*Interest!$G$6:$G$19*Interest!$M$6:$M$19^19)</f>
        <v>16303.33</v>
      </c>
      <c r="F99" s="30">
        <f>SUMPRODUCT((Interest!$A$6:$A$19=F$79)*Interest!$G$6:$G$19*Interest!$M$6:$M$19^19)</f>
        <v>10370.87</v>
      </c>
      <c r="G99" s="30">
        <f>SUMPRODUCT((Interest!$A$6:$A$19=G$79)*Interest!$G$6:$G$19*Interest!$M$6:$M$19^19)</f>
        <v>12583.01</v>
      </c>
      <c r="H99" s="30">
        <f>SUMPRODUCT((Interest!$A$6:$A$19=H$79)*Interest!$G$6:$G$19*Interest!$M$6:$M$19^19)</f>
        <v>8422.42</v>
      </c>
      <c r="I99" s="30">
        <f>SUM(B99:H99)-SUM(B98:H98)</f>
        <v>2749.31</v>
      </c>
    </row>
    <row r="100">
      <c r="A100" t="inlineStr" s="7">
        <is>
          <t xml:space="preserve">Sep 2027</t>
        </is>
      </c>
      <c r="B100" s="30">
        <f>SUMPRODUCT((Interest!$A$6:$A$19=B$79)*Interest!$G$6:$G$19*Interest!$M$6:$M$19^20)</f>
        <v>305122.85</v>
      </c>
      <c r="C100" s="30">
        <f>SUMPRODUCT((Interest!$A$6:$A$19=C$79)*Interest!$G$6:$G$19*Interest!$M$6:$M$19^20)</f>
        <v>136991.19</v>
      </c>
      <c r="D100" s="30">
        <f>SUMPRODUCT((Interest!$A$6:$A$19=D$79)*Interest!$G$6:$G$19*Interest!$M$6:$M$19^20)</f>
        <v>55640.17</v>
      </c>
      <c r="E100" s="30">
        <f>SUMPRODUCT((Interest!$A$6:$A$19=E$79)*Interest!$G$6:$G$19*Interest!$M$6:$M$19^20)</f>
        <v>16371.4</v>
      </c>
      <c r="F100" s="30">
        <f>SUMPRODUCT((Interest!$A$6:$A$19=F$79)*Interest!$G$6:$G$19*Interest!$M$6:$M$19^20)</f>
        <v>10390.76</v>
      </c>
      <c r="G100" s="30">
        <f>SUMPRODUCT((Interest!$A$6:$A$19=G$79)*Interest!$G$6:$G$19*Interest!$M$6:$M$19^20)</f>
        <v>12614.47</v>
      </c>
      <c r="H100" s="30">
        <f>SUMPRODUCT((Interest!$A$6:$A$19=H$79)*Interest!$G$6:$G$19*Interest!$M$6:$M$19^20)</f>
        <v>8445.26</v>
      </c>
      <c r="I100" s="30">
        <f>SUM(B100:H100)-SUM(B99:H99)</f>
        <v>2764.43</v>
      </c>
    </row>
    <row r="101">
      <c r="A101" t="inlineStr" s="7">
        <is>
          <t xml:space="preserve">Oct 2027</t>
        </is>
      </c>
      <c r="B101" s="30">
        <f>SUMPRODUCT((Interest!$A$6:$A$19=B$79)*Interest!$G$6:$G$19*Interest!$M$6:$M$19^21)</f>
        <v>306830.24</v>
      </c>
      <c r="C101" s="30">
        <f>SUMPRODUCT((Interest!$A$6:$A$19=C$79)*Interest!$G$6:$G$19*Interest!$M$6:$M$19^21)</f>
        <v>137621.04</v>
      </c>
      <c r="D101" s="30">
        <f>SUMPRODUCT((Interest!$A$6:$A$19=D$79)*Interest!$G$6:$G$19*Interest!$M$6:$M$19^21)</f>
        <v>55939.85</v>
      </c>
      <c r="E101" s="30">
        <f>SUMPRODUCT((Interest!$A$6:$A$19=E$79)*Interest!$G$6:$G$19*Interest!$M$6:$M$19^21)</f>
        <v>16439.75</v>
      </c>
      <c r="F101" s="30">
        <f>SUMPRODUCT((Interest!$A$6:$A$19=F$79)*Interest!$G$6:$G$19*Interest!$M$6:$M$19^21)</f>
        <v>10410.7</v>
      </c>
      <c r="G101" s="30">
        <f>SUMPRODUCT((Interest!$A$6:$A$19=G$79)*Interest!$G$6:$G$19*Interest!$M$6:$M$19^21)</f>
        <v>12646.0</v>
      </c>
      <c r="H101" s="30">
        <f>SUMPRODUCT((Interest!$A$6:$A$19=H$79)*Interest!$G$6:$G$19*Interest!$M$6:$M$19^21)</f>
        <v>8468.17</v>
      </c>
      <c r="I101" s="30">
        <f>SUM(B101:H101)-SUM(B100:H100)</f>
        <v>2779.65</v>
      </c>
    </row>
    <row r="102">
      <c r="A102" t="inlineStr" s="7">
        <is>
          <t xml:space="preserve">Nov 2027</t>
        </is>
      </c>
      <c r="B102" s="30">
        <f>SUMPRODUCT((Interest!$A$6:$A$19=B$79)*Interest!$G$6:$G$19*Interest!$M$6:$M$19^22)</f>
        <v>308547.73</v>
      </c>
      <c r="C102" s="30">
        <f>SUMPRODUCT((Interest!$A$6:$A$19=C$79)*Interest!$G$6:$G$19*Interest!$M$6:$M$19^22)</f>
        <v>138253.89</v>
      </c>
      <c r="D102" s="30">
        <f>SUMPRODUCT((Interest!$A$6:$A$19=D$79)*Interest!$G$6:$G$19*Interest!$M$6:$M$19^22)</f>
        <v>56241.29</v>
      </c>
      <c r="E102" s="30">
        <f>SUMPRODUCT((Interest!$A$6:$A$19=E$79)*Interest!$G$6:$G$19*Interest!$M$6:$M$19^22)</f>
        <v>16508.39</v>
      </c>
      <c r="F102" s="30">
        <f>SUMPRODUCT((Interest!$A$6:$A$19=F$79)*Interest!$G$6:$G$19*Interest!$M$6:$M$19^22)</f>
        <v>10430.67</v>
      </c>
      <c r="G102" s="30">
        <f>SUMPRODUCT((Interest!$A$6:$A$19=G$79)*Interest!$G$6:$G$19*Interest!$M$6:$M$19^22)</f>
        <v>12677.62</v>
      </c>
      <c r="H102" s="30">
        <f>SUMPRODUCT((Interest!$A$6:$A$19=H$79)*Interest!$G$6:$G$19*Interest!$M$6:$M$19^22)</f>
        <v>8491.13</v>
      </c>
      <c r="I102" s="30">
        <f>SUM(B102:H102)-SUM(B101:H101)</f>
        <v>2794.95</v>
      </c>
    </row>
    <row r="103">
      <c r="A103" t="inlineStr" s="7">
        <is>
          <t xml:space="preserve">Dec 2027</t>
        </is>
      </c>
      <c r="B103" s="30">
        <f>SUMPRODUCT((Interest!$A$6:$A$19=B$79)*Interest!$G$6:$G$19*Interest!$M$6:$M$19^23)</f>
        <v>310275.36</v>
      </c>
      <c r="C103" s="30">
        <f>SUMPRODUCT((Interest!$A$6:$A$19=C$79)*Interest!$G$6:$G$19*Interest!$M$6:$M$19^23)</f>
        <v>138889.73</v>
      </c>
      <c r="D103" s="30">
        <f>SUMPRODUCT((Interest!$A$6:$A$19=D$79)*Interest!$G$6:$G$19*Interest!$M$6:$M$19^23)</f>
        <v>56544.5</v>
      </c>
      <c r="E103" s="30">
        <f>SUMPRODUCT((Interest!$A$6:$A$19=E$79)*Interest!$G$6:$G$19*Interest!$M$6:$M$19^23)</f>
        <v>16577.31</v>
      </c>
      <c r="F103" s="30">
        <f>SUMPRODUCT((Interest!$A$6:$A$19=F$79)*Interest!$G$6:$G$19*Interest!$M$6:$M$19^23)</f>
        <v>10450.68</v>
      </c>
      <c r="G103" s="30">
        <f>SUMPRODUCT((Interest!$A$6:$A$19=G$79)*Interest!$G$6:$G$19*Interest!$M$6:$M$19^23)</f>
        <v>12709.31</v>
      </c>
      <c r="H103" s="30">
        <f>SUMPRODUCT((Interest!$A$6:$A$19=H$79)*Interest!$G$6:$G$19*Interest!$M$6:$M$19^23)</f>
        <v>8514.16</v>
      </c>
      <c r="I103" s="30">
        <f>SUM(B103:H103)-SUM(B102:H102)</f>
        <v>2810.35</v>
      </c>
    </row>
  </sheetData>
  <mergeCells count="27">
    <mergeCell ref="A1:M1"/>
    <mergeCell ref="A2:B2"/>
    <mergeCell ref="C2:D2"/>
    <mergeCell ref="E2:F2"/>
    <mergeCell ref="G2:H2"/>
    <mergeCell ref="I2:J2"/>
    <mergeCell ref="A3:M3"/>
    <mergeCell ref="A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46193</v>
      </c>
      <c r="B7" t="inlineStr" s="21">
        <is>
          <t xml:space="preserve">Interest</t>
        </is>
      </c>
      <c r="C7" t="inlineStr" s="21">
        <is>
          <t xml:space="preserve">Banko</t>
        </is>
      </c>
      <c r="D7" t="inlineStr" s="21">
        <is>
          <t xml:space="preserve">Banko - Savings</t>
        </is>
      </c>
      <c r="E7" s="19">
        <v>62.5</v>
      </c>
      <c r="F7" t="inlineStr" s="21">
        <is>
          <t xml:space="preserve">Interest posting (example)</t>
        </is>
      </c>
    </row>
    <row r="8">
      <c r="A8" s="20">
        <v>46198</v>
      </c>
      <c r="B8" t="inlineStr" s="21">
        <is>
          <t xml:space="preserve">Transfer</t>
        </is>
      </c>
      <c r="C8" t="inlineStr" s="21">
        <is>
          <t xml:space="preserve">UNO</t>
        </is>
      </c>
      <c r="D8" t="inlineStr" s="21">
        <is>
          <t xml:space="preserve">UNO - Digi Savings</t>
        </is>
      </c>
      <c r="E8" s="19">
        <v>5000</v>
      </c>
      <c r="F8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8" customWidth="1"/>
    <col min="9" max="9" width="10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per account = Deposits + Net Transactions. Projected columns include compounding interest from the Interest tab.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(1 Yr)</t>
        </is>
      </c>
      <c r="H5" t="inlineStr" s="6">
        <is>
          <t xml:space="preserve">Proj. Balance (1 Yr)</t>
        </is>
      </c>
      <c r="I5" s="6"/>
      <c r="J5" s="6"/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8">
        <f>IFERROR(VLOOKUP(C6,Interest!$D$6:$L$19,9,FALSE),0)</f>
        <v>5047.48</v>
      </c>
      <c r="H6" s="8">
        <f>F6+G6</f>
        <v>53047.48</v>
      </c>
      <c r="I6" s="21"/>
      <c r="J6" s="21"/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8">
        <f>IFERROR(VLOOKUP(C7,Interest!$D$6:$L$19,9,FALSE),0)</f>
        <v>6167.78</v>
      </c>
      <c r="H7" s="8">
        <f>F7+G7</f>
        <v>106167.78</v>
      </c>
      <c r="I7" s="21"/>
      <c r="J7" s="21"/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8">
        <f>IFERROR(VLOOKUP(C8,Interest!$D$6:$L$19,9,FALSE),0)</f>
        <v>6167.78</v>
      </c>
      <c r="H8" s="8">
        <f>F8+G8</f>
        <v>106167.78</v>
      </c>
      <c r="I8" s="21"/>
      <c r="J8" s="21"/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8">
        <f>IFERROR(VLOOKUP(C9,Interest!$D$6:$L$19,9,FALSE),0)</f>
        <v>1436.5</v>
      </c>
      <c r="H9" s="8">
        <f>F9+G9</f>
        <v>26436.5</v>
      </c>
      <c r="I9" s="21"/>
      <c r="J9" s="21"/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8">
        <f>IFERROR(VLOOKUP(C10,Interest!$D$6:$L$19,9,FALSE),0)</f>
        <v>890.45</v>
      </c>
      <c r="H10" s="8">
        <f>F10+G10</f>
        <v>25890.45</v>
      </c>
      <c r="I10" s="21"/>
      <c r="J10" s="21"/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8">
        <f>IFERROR(VLOOKUP(C11,Interest!$D$6:$L$19,9,FALSE),0)</f>
        <v>3083.89</v>
      </c>
      <c r="H11" s="8">
        <f>F11+G11</f>
        <v>53083.89</v>
      </c>
      <c r="I11" s="21"/>
      <c r="J11" s="21"/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8">
        <f>IFERROR(VLOOKUP(C12,Interest!$D$6:$L$19,9,FALSE),0)</f>
        <v>3083.89</v>
      </c>
      <c r="H12" s="8">
        <f>F12+G12</f>
        <v>53083.89</v>
      </c>
      <c r="I12" s="21"/>
      <c r="J12" s="21"/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8">
        <f>IFERROR(VLOOKUP(C13,Interest!$D$6:$L$19,9,FALSE),0)</f>
        <v>407.42</v>
      </c>
      <c r="H13" s="8">
        <f>F13+G13</f>
        <v>10407.42</v>
      </c>
      <c r="I13" s="21"/>
      <c r="J13" s="21"/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8">
        <f>IFERROR(VLOOKUP(C14,Interest!$D$6:$L$19,9,FALSE),0)</f>
        <v>407.42</v>
      </c>
      <c r="H14" s="8">
        <f>F14+G14</f>
        <v>10407.42</v>
      </c>
      <c r="I14" s="21"/>
      <c r="J14" s="21"/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8">
        <f>IFERROR(VLOOKUP(C15,Interest!$D$6:$L$19,9,FALSE),0)</f>
        <v>2489.99</v>
      </c>
      <c r="H15" s="8">
        <f>F15+G15</f>
        <v>32489.99</v>
      </c>
      <c r="I15" s="21"/>
      <c r="J15" s="21"/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62.5</v>
      </c>
      <c r="F16" s="8">
        <f>D16+E16</f>
        <v>15062.5</v>
      </c>
      <c r="G16" s="8">
        <f>IFERROR(VLOOKUP(C16,Interest!$D$6:$L$19,9,FALSE),0)</f>
        <v>772.22</v>
      </c>
      <c r="H16" s="8">
        <f>F16+G16</f>
        <v>15834.72</v>
      </c>
      <c r="I16" s="21"/>
      <c r="J16" s="21"/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8">
        <f>IFERROR(VLOOKUP(C17,Interest!$D$6:$L$19,9,FALSE),0)</f>
        <v>232.66</v>
      </c>
      <c r="H17" s="8">
        <f>F17+G17</f>
        <v>10232.66</v>
      </c>
      <c r="I17" s="21"/>
      <c r="J17" s="21"/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8">
        <f>IFERROR(VLOOKUP(C18,Interest!$D$6:$L$19,9,FALSE),0)</f>
        <v>364.99</v>
      </c>
      <c r="H18" s="8">
        <f>F18+G18</f>
        <v>12364.99</v>
      </c>
      <c r="I18" s="21"/>
      <c r="J18" s="21"/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8">
        <f>IFERROR(VLOOKUP(C19,Interest!$D$6:$L$19,9,FALSE),0)</f>
        <v>264.26</v>
      </c>
      <c r="H19" s="8">
        <f>F19+G19</f>
        <v>8264.26</v>
      </c>
      <c r="I19" s="21"/>
      <c r="J19" s="21"/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3062.5</v>
      </c>
      <c r="F20" s="16">
        <f>SUM(F6:F19)</f>
        <v>493062.5</v>
      </c>
      <c r="G20" s="16">
        <f>SUM(G6:G19)</f>
        <v>30816.71</v>
      </c>
      <c r="H20" s="16">
        <f>SUM(H6:H19)</f>
        <v>523879.21</v>
      </c>
      <c r="I20" s="16"/>
      <c r="J20" s="16"/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4" customWidth="1"/>
    <col min="5" max="5" width="11" customWidth="1"/>
    <col min="6" max="6" width="11" customWidth="1"/>
    <col min="7" max="7" width="16" customWidth="1"/>
    <col min="8" max="8" width="12" customWidth="1"/>
    <col min="9" max="9" width="16" customWidth="1"/>
    <col min="10" max="10" width="11" customWidth="1"/>
    <col min="11" max="11" width="18" customWidth="1"/>
    <col min="12" max="12" width="16" customWidth="1"/>
    <col min="13" max="13" width="13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</row>
    <row r="3" ht="22" customHeight="1">
      <c r="A3" t="inlineStr" s="5">
        <is>
          <t xml:space="preserve">Interest rates &amp; auto-calculated earnings. Daily accounts compound daily (rate/365); monthly accounts compound monthly (rate/12). Maya Savings overridden to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📈 Interest Rates &amp; Earnings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15062.5</v>
      </c>
      <c r="H16" s="9">
        <f>IF(F16="Daily",E16/365,E16/12)</f>
        <v>0.00013699</v>
      </c>
      <c r="I16" s="8">
        <f>G16*H16</f>
        <v>2.06</v>
      </c>
      <c r="J16" s="10">
        <f>IF(F16="Daily",365,12)</f>
        <v>365</v>
      </c>
      <c r="K16" s="8">
        <f>G16*(1+H16)^J16</f>
        <v>15834.72</v>
      </c>
      <c r="L16" s="8">
        <f>K16-G16</f>
        <v>772.22</v>
      </c>
      <c r="M16" s="9">
        <f>IF(F16="Daily",(1+E16/365)^(365/12),1+E16/12)</f>
        <v>1.00417507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493062.5</v>
      </c>
      <c r="H20" s="15"/>
      <c r="I20" s="16">
        <f>SUM(I6:I19)</f>
        <v>1932.29</v>
      </c>
      <c r="J20" s="15"/>
      <c r="K20" s="16">
        <f>SUM(K6:K19)</f>
        <v>523879.21</v>
      </c>
      <c r="L20" s="16">
        <f>SUM(L6:L19)</f>
        <v>30816.71</v>
      </c>
      <c r="M20" s="15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