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23:F62" totalsRowShown="0">
  <autoFilter ref="A23:F62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Interest earned is shown at the TOP (auto-posted, read-only) and is already included in your Current Balance. Log the money you move (deposits/withdrawals/transfers) in the Transaction Log below - use negative amounts for money out and the filter arrows to search. The log can grow as long as you need (nothing sits beneath it).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🪙 Interest Earned  (auto-posted — do not edit)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11">
        <f>TODAY()</f>
        <v>46208</v>
      </c>
      <c r="B6" t="inlineStr" s="7">
        <is>
          <t xml:space="preserve">Interest</t>
        </is>
      </c>
      <c r="C6" t="inlineStr" s="7">
        <is>
          <t xml:space="preserve">Maya</t>
        </is>
      </c>
      <c r="D6" t="inlineStr" s="7">
        <is>
          <t xml:space="preserve">Maya - Savings</t>
        </is>
      </c>
      <c r="E6" s="23">
        <f>IFERROR(VLOOKUP(D6,Interest!$D$6:$Q$19,13,FALSE),0)</f>
        <v>449.15</v>
      </c>
      <c r="F6" t="inlineStr" s="7">
        <is>
          <t xml:space="preserve">Interest earned to date</t>
        </is>
      </c>
    </row>
    <row r="7">
      <c r="A7" s="11">
        <f>TODAY()</f>
        <v>46208</v>
      </c>
      <c r="B7" t="inlineStr" s="7">
        <is>
          <t xml:space="preserve">Interest</t>
        </is>
      </c>
      <c r="C7" t="inlineStr" s="7">
        <is>
          <t xml:space="preserve">Maya</t>
        </is>
      </c>
      <c r="D7" t="inlineStr" s="7">
        <is>
          <t xml:space="preserve">Maya - Time Deposit 1</t>
        </is>
      </c>
      <c r="E7" s="23">
        <f>IFERROR(VLOOKUP(D7,Interest!$D$6:$Q$19,13,FALSE),0)</f>
        <v>500.0</v>
      </c>
      <c r="F7" t="inlineStr" s="7">
        <is>
          <t xml:space="preserve">Interest earned to date</t>
        </is>
      </c>
    </row>
    <row r="8">
      <c r="A8" s="11">
        <f>TODAY()</f>
        <v>46208</v>
      </c>
      <c r="B8" t="inlineStr" s="7">
        <is>
          <t xml:space="preserve">Interest</t>
        </is>
      </c>
      <c r="C8" t="inlineStr" s="7">
        <is>
          <t xml:space="preserve">Maya</t>
        </is>
      </c>
      <c r="D8" t="inlineStr" s="7">
        <is>
          <t xml:space="preserve">Maya - Time Deposit 2</t>
        </is>
      </c>
      <c r="E8" s="23">
        <f>IFERROR(VLOOKUP(D8,Interest!$D$6:$Q$19,13,FALSE),0)</f>
        <v>500.0</v>
      </c>
      <c r="F8" t="inlineStr" s="7">
        <is>
          <t xml:space="preserve">Interest earned to date</t>
        </is>
      </c>
    </row>
    <row r="9">
      <c r="A9" s="11">
        <f>TODAY()</f>
        <v>46208</v>
      </c>
      <c r="B9" t="inlineStr" s="7">
        <is>
          <t xml:space="preserve">Interest</t>
        </is>
      </c>
      <c r="C9" t="inlineStr" s="7">
        <is>
          <t xml:space="preserve">Maya</t>
        </is>
      </c>
      <c r="D9" t="inlineStr" s="7">
        <is>
          <t xml:space="preserve">Maya - Personal Goal</t>
        </is>
      </c>
      <c r="E9" s="23">
        <f>IFERROR(VLOOKUP(D9,Interest!$D$6:$Q$19,13,FALSE),0)</f>
        <v>116.67</v>
      </c>
      <c r="F9" t="inlineStr" s="7">
        <is>
          <t xml:space="preserve">Interest earned to date</t>
        </is>
      </c>
    </row>
    <row r="10">
      <c r="A10" s="11">
        <f>TODAY()</f>
        <v>46208</v>
      </c>
      <c r="B10" t="inlineStr" s="7">
        <is>
          <t xml:space="preserve">Interest</t>
        </is>
      </c>
      <c r="C10" t="inlineStr" s="7">
        <is>
          <t xml:space="preserve">UNO</t>
        </is>
      </c>
      <c r="D10" t="inlineStr" s="7">
        <is>
          <t xml:space="preserve">UNO - Digi Savings</t>
        </is>
      </c>
      <c r="E10" s="23">
        <f>IFERROR(VLOOKUP(D10,Interest!$D$6:$Q$19,13,FALSE),0)</f>
        <v>81.64</v>
      </c>
      <c r="F10" t="inlineStr" s="7">
        <is>
          <t xml:space="preserve">Interest earned to date</t>
        </is>
      </c>
    </row>
    <row r="11">
      <c r="A11" s="11">
        <f>TODAY()</f>
        <v>46208</v>
      </c>
      <c r="B11" t="inlineStr" s="7">
        <is>
          <t xml:space="preserve">Interest</t>
        </is>
      </c>
      <c r="C11" t="inlineStr" s="7">
        <is>
          <t xml:space="preserve">UNO</t>
        </is>
      </c>
      <c r="D11" t="inlineStr" s="7">
        <is>
          <t xml:space="preserve">UNO - Time Deposit 1</t>
        </is>
      </c>
      <c r="E11" s="23">
        <f>IFERROR(VLOOKUP(D11,Interest!$D$6:$Q$19,13,FALSE),0)</f>
        <v>250.0</v>
      </c>
      <c r="F11" t="inlineStr" s="7">
        <is>
          <t xml:space="preserve">Interest earned to date</t>
        </is>
      </c>
    </row>
    <row r="12">
      <c r="A12" s="11">
        <f>TODAY()</f>
        <v>46208</v>
      </c>
      <c r="B12" t="inlineStr" s="7">
        <is>
          <t xml:space="preserve">Interest</t>
        </is>
      </c>
      <c r="C12" t="inlineStr" s="7">
        <is>
          <t xml:space="preserve">UNO</t>
        </is>
      </c>
      <c r="D12" t="inlineStr" s="7">
        <is>
          <t xml:space="preserve">UNO - Time Deposit 2</t>
        </is>
      </c>
      <c r="E12" s="23">
        <f>IFERROR(VLOOKUP(D12,Interest!$D$6:$Q$19,13,FALSE),0)</f>
        <v>250.0</v>
      </c>
      <c r="F12" t="inlineStr" s="7">
        <is>
          <t xml:space="preserve">Interest earned to date</t>
        </is>
      </c>
    </row>
    <row r="13">
      <c r="A13" s="11">
        <f>TODAY()</f>
        <v>46208</v>
      </c>
      <c r="B13" t="inlineStr" s="7">
        <is>
          <t xml:space="preserve">Interest</t>
        </is>
      </c>
      <c r="C13" t="inlineStr" s="7">
        <is>
          <t xml:space="preserve">Tonik</t>
        </is>
      </c>
      <c r="D13" t="inlineStr" s="7">
        <is>
          <t xml:space="preserve">Tonik - Stash 1</t>
        </is>
      </c>
      <c r="E13" s="23">
        <f>IFERROR(VLOOKUP(D13,Interest!$D$6:$Q$19,13,FALSE),0)</f>
        <v>33.33</v>
      </c>
      <c r="F13" t="inlineStr" s="7">
        <is>
          <t xml:space="preserve">Interest earned to date</t>
        </is>
      </c>
    </row>
    <row r="14">
      <c r="A14" s="11">
        <f>TODAY()</f>
        <v>46208</v>
      </c>
      <c r="B14" t="inlineStr" s="7">
        <is>
          <t xml:space="preserve">Interest</t>
        </is>
      </c>
      <c r="C14" t="inlineStr" s="7">
        <is>
          <t xml:space="preserve">Tonik</t>
        </is>
      </c>
      <c r="D14" t="inlineStr" s="7">
        <is>
          <t xml:space="preserve">Tonik - Stash 2</t>
        </is>
      </c>
      <c r="E14" s="23">
        <f>IFERROR(VLOOKUP(D14,Interest!$D$6:$Q$19,13,FALSE),0)</f>
        <v>33.33</v>
      </c>
      <c r="F14" t="inlineStr" s="7">
        <is>
          <t xml:space="preserve">Interest earned to date</t>
        </is>
      </c>
    </row>
    <row r="15">
      <c r="A15" s="11">
        <f>TODAY()</f>
        <v>46208</v>
      </c>
      <c r="B15" t="inlineStr" s="7">
        <is>
          <t xml:space="preserve">Interest</t>
        </is>
      </c>
      <c r="C15" t="inlineStr" s="7">
        <is>
          <t xml:space="preserve">Tonik</t>
        </is>
      </c>
      <c r="D15" t="inlineStr" s="7">
        <is>
          <t xml:space="preserve">Tonik - Time Deposit</t>
        </is>
      </c>
      <c r="E15" s="23">
        <f>IFERROR(VLOOKUP(D15,Interest!$D$6:$Q$19,13,FALSE),0)</f>
        <v>200.0</v>
      </c>
      <c r="F15" t="inlineStr" s="7">
        <is>
          <t xml:space="preserve">Interest earned to date</t>
        </is>
      </c>
    </row>
    <row r="16">
      <c r="A16" s="11">
        <f>TODAY()</f>
        <v>46208</v>
      </c>
      <c r="B16" t="inlineStr" s="7">
        <is>
          <t xml:space="preserve">Interest</t>
        </is>
      </c>
      <c r="C16" t="inlineStr" s="7">
        <is>
          <t xml:space="preserve">Banko</t>
        </is>
      </c>
      <c r="D16" t="inlineStr" s="7">
        <is>
          <t xml:space="preserve">Banko - Savings</t>
        </is>
      </c>
      <c r="E16" s="23">
        <f>IFERROR(VLOOKUP(D16,Interest!$D$6:$Q$19,13,FALSE),0)</f>
        <v>70.02</v>
      </c>
      <c r="F16" t="inlineStr" s="7">
        <is>
          <t xml:space="preserve">Interest earned to date</t>
        </is>
      </c>
    </row>
    <row r="17">
      <c r="A17" s="11">
        <f>TODAY()</f>
        <v>46208</v>
      </c>
      <c r="B17" t="inlineStr" s="7">
        <is>
          <t xml:space="preserve">Interest</t>
        </is>
      </c>
      <c r="C17" t="inlineStr" s="7">
        <is>
          <t xml:space="preserve">CIMB</t>
        </is>
      </c>
      <c r="D17" t="inlineStr" s="7">
        <is>
          <t xml:space="preserve">CIMB - Savings</t>
        </is>
      </c>
      <c r="E17" s="23">
        <f>IFERROR(VLOOKUP(D17,Interest!$D$6:$Q$19,13,FALSE),0)</f>
        <v>21.45</v>
      </c>
      <c r="F17" t="inlineStr" s="7">
        <is>
          <t xml:space="preserve">Interest earned to date</t>
        </is>
      </c>
    </row>
    <row r="18">
      <c r="A18" s="11">
        <f>TODAY()</f>
        <v>46208</v>
      </c>
      <c r="B18" t="inlineStr" s="7">
        <is>
          <t xml:space="preserve">Interest</t>
        </is>
      </c>
      <c r="C18" t="inlineStr" s="7">
        <is>
          <t xml:space="preserve">GoTyme</t>
        </is>
      </c>
      <c r="D18" t="inlineStr" s="7">
        <is>
          <t xml:space="preserve">GoTyme - GoSave</t>
        </is>
      </c>
      <c r="E18" s="23">
        <f>IFERROR(VLOOKUP(D18,Interest!$D$6:$Q$19,13,FALSE),0)</f>
        <v>30.0</v>
      </c>
      <c r="F18" t="inlineStr" s="7">
        <is>
          <t xml:space="preserve">Interest earned to date</t>
        </is>
      </c>
    </row>
    <row r="19">
      <c r="A19" s="11">
        <f>TODAY()</f>
        <v>46208</v>
      </c>
      <c r="B19" t="inlineStr" s="7">
        <is>
          <t xml:space="preserve">Interest</t>
        </is>
      </c>
      <c r="C19" t="inlineStr" s="7">
        <is>
          <t xml:space="preserve">Maribank</t>
        </is>
      </c>
      <c r="D19" t="inlineStr" s="7">
        <is>
          <t xml:space="preserve">Maribank - Savings</t>
        </is>
      </c>
      <c r="E19" s="23">
        <f>IFERROR(VLOOKUP(D19,Interest!$D$6:$Q$19,13,FALSE),0)</f>
        <v>24.25</v>
      </c>
      <c r="F19" t="inlineStr" s="7">
        <is>
          <t xml:space="preserve">Interest earned to date</t>
        </is>
      </c>
    </row>
    <row r="20" ht="18" customHeight="1">
      <c r="A20" t="inlineStr" s="15">
        <is>
          <t xml:space="preserve"/>
        </is>
      </c>
      <c r="B20" t="inlineStr" s="15">
        <is>
          <t xml:space="preserve"/>
        </is>
      </c>
      <c r="C20" t="inlineStr" s="15">
        <is>
          <t xml:space="preserve"/>
        </is>
      </c>
      <c r="D20" t="inlineStr" s="15">
        <is>
          <t xml:space="preserve">Total interest</t>
        </is>
      </c>
      <c r="E20" s="16">
        <f>SUM(E6:E19)</f>
        <v>2559.84</v>
      </c>
      <c r="F20" t="inlineStr" s="15">
        <is>
          <t xml:space="preserve"/>
        </is>
      </c>
    </row>
    <row r="22" ht="22" customHeight="1">
      <c r="A22" t="inlineStr" s="4">
        <is>
          <t xml:space="preserve">🔄 Transaction Log  (money you move — use the filters)</t>
        </is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ht="20" customHeight="1">
      <c r="A23" t="inlineStr" s="6">
        <is>
          <t xml:space="preserve">Date</t>
        </is>
      </c>
      <c r="B23" t="inlineStr" s="6">
        <is>
          <t xml:space="preserve">Type</t>
        </is>
      </c>
      <c r="C23" t="inlineStr" s="6">
        <is>
          <t xml:space="preserve">Bank</t>
        </is>
      </c>
      <c r="D23" t="inlineStr" s="6">
        <is>
          <t xml:space="preserve">Account</t>
        </is>
      </c>
      <c r="E23" t="inlineStr" s="6">
        <is>
          <t xml:space="preserve">Amount</t>
        </is>
      </c>
      <c r="F23" t="inlineStr" s="6">
        <is>
          <t xml:space="preserve">Notes</t>
        </is>
      </c>
    </row>
    <row r="24">
      <c r="A24" s="20">
        <v>46188</v>
      </c>
      <c r="B24" t="inlineStr" s="21">
        <is>
          <t xml:space="preserve">Withdrawal</t>
        </is>
      </c>
      <c r="C24" t="inlineStr" s="21">
        <is>
          <t xml:space="preserve">Maya</t>
        </is>
      </c>
      <c r="D24" t="inlineStr" s="21">
        <is>
          <t xml:space="preserve">Maya - Savings</t>
        </is>
      </c>
      <c r="E24" s="19">
        <v>-2000</v>
      </c>
      <c r="F24" t="inlineStr" s="21">
        <is>
          <t xml:space="preserve">ATM withdrawal (example)</t>
        </is>
      </c>
    </row>
    <row r="25">
      <c r="A25" s="20">
        <v>46198</v>
      </c>
      <c r="B25" t="inlineStr" s="21">
        <is>
          <t xml:space="preserve">Transfer</t>
        </is>
      </c>
      <c r="C25" t="inlineStr" s="21">
        <is>
          <t xml:space="preserve">UNO</t>
        </is>
      </c>
      <c r="D25" t="inlineStr" s="21">
        <is>
          <t xml:space="preserve">UNO - Digi Savings</t>
        </is>
      </c>
      <c r="E25" s="19">
        <v>5000</v>
      </c>
      <c r="F25" t="inlineStr" s="21">
        <is>
          <t xml:space="preserve">Transfer in (example)</t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22:M22"/>
  </mergeCells>
  <dataValidations count="3">
    <dataValidation type="list" allowBlank="1" showInputMessage="1" showErrorMessage="1" promptTitle="Pick a type" prompt="Choose the transaction type. (Interest is added automatically at the top - no need to record it here.)" sqref="B24:B62">
      <formula1>"Deposit,Withdrawal,Transfer,Adjustment,Fee"</formula1>
    </dataValidation>
    <dataValidation type="list" allowBlank="1" showInputMessage="1" showErrorMessage="1" promptTitle="Pick a bank" prompt="Choose the bank from the drop-down list." sqref="C24:C62">
      <formula1>BankList</formula1>
    </dataValidation>
    <dataValidation type="list" allowBlank="1" showInputMessage="1" showErrorMessage="1" promptTitle="Pick an account" prompt="Choose the account from the drop-down list." sqref="D24:D62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is posted automatically on the Transactions tab and grows each day/month, so Current Balance rises on its own.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0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3" customWidth="1"/>
    <col min="10" max="10" width="13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  <col min="18" max="18" width="10" hidden="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  <c r="R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 (est.)</t>
        </is>
      </c>
      <c r="J5" t="inlineStr" s="6">
        <is>
          <t xml:space="preserve">Interest / Month (est.)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  <c r="R5" t="inlineStr" s="6">
        <is>
          <t xml:space="preserve">Periods / Yr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8">
        <f>G6*E6/12</f>
        <v>400.0</v>
      </c>
      <c r="K6" s="8">
        <f>G6*(1+H6)^R6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  <c r="R6" s="10">
        <f>IF(F6="Daily",365,12)</f>
        <v>365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8">
        <f>G7*E7/12</f>
        <v>500.0</v>
      </c>
      <c r="K7" s="8">
        <f>G7*(1+H7)^R7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  <c r="R7" s="10">
        <f>IF(F7="Daily",365,12)</f>
        <v>12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8">
        <f>G8*E8/12</f>
        <v>500.0</v>
      </c>
      <c r="K8" s="8">
        <f>G8*(1+H8)^R8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  <c r="R8" s="10">
        <f>IF(F8="Daily",365,12)</f>
        <v>12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8">
        <f>G9*E9/12</f>
        <v>116.67</v>
      </c>
      <c r="K9" s="8">
        <f>G9*(1+H9)^R9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  <c r="R9" s="10">
        <f>IF(F9="Daily",365,12)</f>
        <v>12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8">
        <f>G10*E10/12</f>
        <v>72.92</v>
      </c>
      <c r="K10" s="8">
        <f>G10*(1+H10)^R10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  <c r="R10" s="10">
        <f>IF(F10="Daily",365,12)</f>
        <v>365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8">
        <f>G11*E11/12</f>
        <v>250.0</v>
      </c>
      <c r="K11" s="8">
        <f>G11*(1+H11)^R11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  <c r="R11" s="10">
        <f>IF(F11="Daily",365,12)</f>
        <v>12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8">
        <f>G12*E12/12</f>
        <v>250.0</v>
      </c>
      <c r="K12" s="8">
        <f>G12*(1+H12)^R12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  <c r="R12" s="10">
        <f>IF(F12="Daily",365,12)</f>
        <v>12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8">
        <f>G13*E13/12</f>
        <v>33.33</v>
      </c>
      <c r="K13" s="8">
        <f>G13*(1+H13)^R13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  <c r="R13" s="10">
        <f>IF(F13="Daily",365,12)</f>
        <v>12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8">
        <f>G14*E14/12</f>
        <v>33.33</v>
      </c>
      <c r="K14" s="8">
        <f>G14*(1+H14)^R14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  <c r="R14" s="10">
        <f>IF(F14="Daily",365,12)</f>
        <v>12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8">
        <f>G15*E15/12</f>
        <v>200.0</v>
      </c>
      <c r="K15" s="8">
        <f>G15*(1+H15)^R15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  <c r="R15" s="10">
        <f>IF(F15="Daily",365,12)</f>
        <v>12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8">
        <f>G16*E16/12</f>
        <v>62.5</v>
      </c>
      <c r="K16" s="8">
        <f>G16*(1+H16)^R16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  <c r="R16" s="10">
        <f>IF(F16="Daily",365,12)</f>
        <v>365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8">
        <f>G17*E17/12</f>
        <v>19.17</v>
      </c>
      <c r="K17" s="8">
        <f>G17*(1+H17)^R17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  <c r="R17" s="10">
        <f>IF(F17="Daily",365,12)</f>
        <v>365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8">
        <f>G18*E18/12</f>
        <v>30.0</v>
      </c>
      <c r="K18" s="8">
        <f>G18*(1+H18)^R18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  <c r="R18" s="10">
        <f>IF(F18="Daily",365,12)</f>
        <v>12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8">
        <f>G19*E19/12</f>
        <v>21.67</v>
      </c>
      <c r="K19" s="8">
        <f>G19*(1+H19)^R19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  <c r="R19" s="10">
        <f>IF(F19="Daily",365,12)</f>
        <v>365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6">
        <f>SUM(J6:J19)</f>
        <v>2489.59</v>
      </c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  <c r="R20" s="15"/>
    </row>
  </sheetData>
  <mergeCells count="8">
    <mergeCell ref="A1:R1"/>
    <mergeCell ref="A2:B2"/>
    <mergeCell ref="C2:D2"/>
    <mergeCell ref="E2:F2"/>
    <mergeCell ref="G2:H2"/>
    <mergeCell ref="I2:J2"/>
    <mergeCell ref="A3:R3"/>
    <mergeCell ref="A4:R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