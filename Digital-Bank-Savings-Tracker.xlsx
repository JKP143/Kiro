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PHP &quot;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15062.5</c:v>
                </c:pt>
                <c:pt idx="1">
                  <c:v>15125.387</c:v>
                </c:pt>
                <c:pt idx="2">
                  <c:v>15188.5366</c:v>
                </c:pt>
                <c:pt idx="3">
                  <c:v>15251.9499</c:v>
                </c:pt>
                <c:pt idx="4">
                  <c:v>15315.6279</c:v>
                </c:pt>
                <c:pt idx="5">
                  <c:v>15379.5717</c:v>
                </c:pt>
                <c:pt idx="6">
                  <c:v>15443.7826</c:v>
                </c:pt>
                <c:pt idx="7">
                  <c:v>15508.2615</c:v>
                </c:pt>
                <c:pt idx="8">
                  <c:v>15573.0096</c:v>
                </c:pt>
                <c:pt idx="9">
                  <c:v>15638.028</c:v>
                </c:pt>
                <c:pt idx="10">
                  <c:v>15703.3179</c:v>
                </c:pt>
                <c:pt idx="11">
                  <c:v>15768.8804</c:v>
                </c:pt>
                <c:pt idx="12">
                  <c:v>15834.7167</c:v>
                </c:pt>
                <c:pt idx="13">
                  <c:v>15900.8278</c:v>
                </c:pt>
                <c:pt idx="14">
                  <c:v>15967.2149</c:v>
                </c:pt>
                <c:pt idx="15">
                  <c:v>16033.8792</c:v>
                </c:pt>
                <c:pt idx="16">
                  <c:v>16100.8218</c:v>
                </c:pt>
                <c:pt idx="17">
                  <c:v>16168.0439</c:v>
                </c:pt>
                <c:pt idx="18">
                  <c:v>16235.5466</c:v>
                </c:pt>
                <c:pt idx="19">
                  <c:v>16303.3312</c:v>
                </c:pt>
                <c:pt idx="20">
                  <c:v>16371.3988</c:v>
                </c:pt>
                <c:pt idx="21">
                  <c:v>16439.7506</c:v>
                </c:pt>
                <c:pt idx="22">
                  <c:v>16508.3877</c:v>
                </c:pt>
                <c:pt idx="23">
                  <c:v>16577.3115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Dashboard!$I$79</c:f>
              <c:strCache>
                <c:ptCount val="1"/>
                <c:pt idx="0">
                  <c:v>Interest Earned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Dashboard!$I$80:$I$103</c:f>
              <c:numCache>
                <c:formatCode>General</c:formatCode>
                <c:ptCount val="24"/>
                <c:pt idx="0">
                  <c:v>0.0</c:v>
                </c:pt>
                <c:pt idx="1">
                  <c:v>2491.7355</c:v>
                </c:pt>
                <c:pt idx="2">
                  <c:v>2505.3423</c:v>
                </c:pt>
                <c:pt idx="3">
                  <c:v>2519.029</c:v>
                </c:pt>
                <c:pt idx="4">
                  <c:v>2532.7962</c:v>
                </c:pt>
                <c:pt idx="5">
                  <c:v>2546.6443</c:v>
                </c:pt>
                <c:pt idx="6">
                  <c:v>2560.5738</c:v>
                </c:pt>
                <c:pt idx="7">
                  <c:v>2574.5853</c:v>
                </c:pt>
                <c:pt idx="8">
                  <c:v>2588.6792</c:v>
                </c:pt>
                <c:pt idx="9">
                  <c:v>2602.8562</c:v>
                </c:pt>
                <c:pt idx="10">
                  <c:v>2617.1167</c:v>
                </c:pt>
                <c:pt idx="11">
                  <c:v>2631.4612</c:v>
                </c:pt>
                <c:pt idx="12">
                  <c:v>2645.8903</c:v>
                </c:pt>
                <c:pt idx="13">
                  <c:v>2660.4045</c:v>
                </c:pt>
                <c:pt idx="14">
                  <c:v>2675.0044</c:v>
                </c:pt>
                <c:pt idx="15">
                  <c:v>2689.6904</c:v>
                </c:pt>
                <c:pt idx="16">
                  <c:v>2704.4633</c:v>
                </c:pt>
                <c:pt idx="17">
                  <c:v>2719.3234</c:v>
                </c:pt>
                <c:pt idx="18">
                  <c:v>2734.2713</c:v>
                </c:pt>
                <c:pt idx="19">
                  <c:v>2749.3077</c:v>
                </c:pt>
                <c:pt idx="20">
                  <c:v>2764.433</c:v>
                </c:pt>
                <c:pt idx="21">
                  <c:v>2779.6479</c:v>
                </c:pt>
                <c:pt idx="22">
                  <c:v>2794.9528</c:v>
                </c:pt>
                <c:pt idx="23">
                  <c:v>2810.3485</c:v>
                </c:pt>
              </c:numCache>
            </c:numRef>
          </c:val>
        </c:ser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(All Accounts)</t>
        </is>
      </c>
      <c r="B5" s="25"/>
      <c r="C5" s="25"/>
      <c r="D5" s="25"/>
      <c r="E5" s="26">
        <f>SUM(Balance!$F$6:$F$19)</f>
        <v>493062.5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Total Interest Credited</t>
        </is>
      </c>
      <c r="B7" s="25"/>
      <c r="C7" s="25"/>
      <c r="D7" s="25"/>
      <c r="E7" s="26">
        <f>SUMIFS(Transactions!$E$6:$E$205,Transactions!$B$6:$B$205,"Interest")</f>
        <v>62.5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Current Balance</t>
        </is>
      </c>
      <c r="B12" s="25"/>
      <c r="C12" s="25"/>
      <c r="D12" s="25"/>
      <c r="E12" s="26">
        <f>IFERROR(VLOOKUP("Maya - Personal Goal",Balance!$C$6:$F$19,4,FALSE),0)</f>
        <v>25000.0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SUMIF(Balance!$B$6:$B$19,A17,Balance!$F$6:$F$19)</f>
        <v>273000.0</v>
      </c>
    </row>
    <row r="18">
      <c r="A18" t="inlineStr" s="7">
        <is>
          <t xml:space="preserve">UNO</t>
        </is>
      </c>
      <c r="B18" s="29">
        <f>SUMIF(Balance!$B$6:$B$19,A18,Balance!$F$6:$F$19)</f>
        <v>125000.0</v>
      </c>
    </row>
    <row r="19">
      <c r="A19" t="inlineStr" s="7">
        <is>
          <t xml:space="preserve">Tonik</t>
        </is>
      </c>
      <c r="B19" s="29">
        <f>SUMIF(Balance!$B$6:$B$19,A19,Balance!$F$6:$F$19)</f>
        <v>50000.0</v>
      </c>
    </row>
    <row r="20">
      <c r="A20" t="inlineStr" s="7">
        <is>
          <t xml:space="preserve">Banko</t>
        </is>
      </c>
      <c r="B20" s="29">
        <f>SUMIF(Balance!$B$6:$B$19,A20,Balance!$F$6:$F$19)</f>
        <v>15062.5</v>
      </c>
    </row>
    <row r="21">
      <c r="A21" t="inlineStr" s="7">
        <is>
          <t xml:space="preserve">CIMB</t>
        </is>
      </c>
      <c r="B21" s="29">
        <f>SUMIF(Balance!$B$6:$B$19,A21,Balance!$F$6:$F$19)</f>
        <v>10000.0</v>
      </c>
    </row>
    <row r="22">
      <c r="A22" t="inlineStr" s="7">
        <is>
          <t xml:space="preserve">GoTyme</t>
        </is>
      </c>
      <c r="B22" s="29">
        <f>SUMIF(Balance!$B$6:$B$19,A22,Balance!$F$6:$F$19)</f>
        <v>12000.0</v>
      </c>
    </row>
    <row r="23">
      <c r="A23" t="inlineStr" s="7">
        <is>
          <t xml:space="preserve">Maribank</t>
        </is>
      </c>
      <c r="B23" s="29">
        <f>SUMIF(Balance!$B$6:$B$19,A23,Balance!$F$6:$F$19)</f>
        <v>8000.0</v>
      </c>
    </row>
    <row r="24">
      <c r="A24" t="inlineStr" s="15">
        <is>
          <t xml:space="preserve">Total</t>
        </is>
      </c>
      <c r="B24" s="16">
        <f>SUM(B17:B23)</f>
        <v>493062.5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15062.5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15125.39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2491.74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15188.54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2505.34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15251.95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2519.03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15315.63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2532.8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15379.57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2546.64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15443.78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2560.57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15508.26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2574.59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15573.01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2588.68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15638.03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2602.86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15703.32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2617.12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15768.88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2631.46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15834.72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2645.89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15900.83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2660.4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15967.21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2675.0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16033.88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2689.69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16100.82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2704.46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16168.04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2719.32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16235.55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2734.27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16303.33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2749.31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16371.4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2764.43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16439.75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2779.65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16508.39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2794.95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16577.31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2810.35</v>
      </c>
    </row>
  </sheetData>
  <mergeCells count="27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