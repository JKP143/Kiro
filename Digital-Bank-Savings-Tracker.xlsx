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style="20" customWidth="1"/>
    <col min="2" max="2" width="12" style="21" customWidth="1"/>
    <col min="3" max="3" width="10" style="21" customWidth="1"/>
    <col min="4" max="4" width="18" style="21" customWidth="1"/>
    <col min="5" max="5" width="13" style="19" customWidth="1"/>
    <col min="6" max="6" width="15" style="21" customWidth="1"/>
    <col min="7" max="7" width="3" customWidth="1"/>
    <col min="8" max="8" width="11" style="20" customWidth="1"/>
    <col min="9" max="9" width="9" style="21" customWidth="1"/>
    <col min="10" max="10" width="9" style="21" customWidth="1"/>
    <col min="11" max="11" width="18" style="21" customWidth="1"/>
    <col min="12" max="12" width="13" style="19" customWidth="1"/>
    <col min="13" max="13" width="16" style="2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LEFT = money you move (deposits/withdrawals/transfers) - use the filters; use negative amounts for money out. RIGHT = interest earned, posted automatically and already included in your Current Balance (do not edit).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4">
        <is>
          <t xml:space="preserve">🔄 Transaction Log  (money you move)</t>
        </is>
      </c>
      <c r="B4" s="4"/>
      <c r="C4" s="4"/>
      <c r="D4" s="4"/>
      <c r="E4" s="4"/>
      <c r="F4" s="4"/>
      <c r="G4" s="4"/>
      <c r="H4" t="inlineStr" s="4">
        <is>
          <t xml:space="preserve">🪙 Interest Earned  (auto-posted — do not edit)</t>
        </is>
      </c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0"/>
      <c r="H5" t="inlineStr" s="6">
        <is>
          <t xml:space="preserve">Date</t>
        </is>
      </c>
      <c r="I5" t="inlineStr" s="6">
        <is>
          <t xml:space="preserve">Type</t>
        </is>
      </c>
      <c r="J5" t="inlineStr" s="6">
        <is>
          <t xml:space="preserve">Bank</t>
        </is>
      </c>
      <c r="K5" t="inlineStr" s="6">
        <is>
          <t xml:space="preserve">Account</t>
        </is>
      </c>
      <c r="L5" t="inlineStr" s="6">
        <is>
          <t xml:space="preserve">Amount</t>
        </is>
      </c>
      <c r="M5" t="inlineStr" s="6">
        <is>
          <t xml:space="preserve">Notes</t>
        </is>
      </c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  <c r="H6" s="11">
        <f>TODAY()</f>
        <v>46208</v>
      </c>
      <c r="I6" t="inlineStr" s="7">
        <is>
          <t xml:space="preserve">Interest</t>
        </is>
      </c>
      <c r="J6" t="inlineStr" s="7">
        <is>
          <t xml:space="preserve">Maya</t>
        </is>
      </c>
      <c r="K6" t="inlineStr" s="7">
        <is>
          <t xml:space="preserve">Maya - Savings</t>
        </is>
      </c>
      <c r="L6" s="23">
        <f>IFERROR(VLOOKUP(K6,Interest!$D$6:$Q$19,13,FALSE),0)</f>
        <v>449.15</v>
      </c>
      <c r="M6" t="inlineStr" s="7">
        <is>
          <t xml:space="preserve">Interest earned to date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  <c r="H7" s="11">
        <f>TODAY()</f>
        <v>46208</v>
      </c>
      <c r="I7" t="inlineStr" s="7">
        <is>
          <t xml:space="preserve">Interest</t>
        </is>
      </c>
      <c r="J7" t="inlineStr" s="7">
        <is>
          <t xml:space="preserve">Maya</t>
        </is>
      </c>
      <c r="K7" t="inlineStr" s="7">
        <is>
          <t xml:space="preserve">Maya - Time Deposit 1</t>
        </is>
      </c>
      <c r="L7" s="23">
        <f>IFERROR(VLOOKUP(K7,Interest!$D$6:$Q$19,13,FALSE),0)</f>
        <v>500.0</v>
      </c>
      <c r="M7" t="inlineStr" s="7">
        <is>
          <t xml:space="preserve">Interest earned to date</t>
        </is>
      </c>
    </row>
    <row r="8">
      <c r="H8" s="11">
        <f>TODAY()</f>
        <v>46208</v>
      </c>
      <c r="I8" t="inlineStr" s="7">
        <is>
          <t xml:space="preserve">Interest</t>
        </is>
      </c>
      <c r="J8" t="inlineStr" s="7">
        <is>
          <t xml:space="preserve">Maya</t>
        </is>
      </c>
      <c r="K8" t="inlineStr" s="7">
        <is>
          <t xml:space="preserve">Maya - Time Deposit 2</t>
        </is>
      </c>
      <c r="L8" s="23">
        <f>IFERROR(VLOOKUP(K8,Interest!$D$6:$Q$19,13,FALSE),0)</f>
        <v>500.0</v>
      </c>
      <c r="M8" t="inlineStr" s="7">
        <is>
          <t xml:space="preserve">Interest earned to date</t>
        </is>
      </c>
    </row>
    <row r="9">
      <c r="H9" s="11">
        <f>TODAY()</f>
        <v>46208</v>
      </c>
      <c r="I9" t="inlineStr" s="7">
        <is>
          <t xml:space="preserve">Interest</t>
        </is>
      </c>
      <c r="J9" t="inlineStr" s="7">
        <is>
          <t xml:space="preserve">Maya</t>
        </is>
      </c>
      <c r="K9" t="inlineStr" s="7">
        <is>
          <t xml:space="preserve">Maya - Personal Goal</t>
        </is>
      </c>
      <c r="L9" s="23">
        <f>IFERROR(VLOOKUP(K9,Interest!$D$6:$Q$19,13,FALSE),0)</f>
        <v>116.67</v>
      </c>
      <c r="M9" t="inlineStr" s="7">
        <is>
          <t xml:space="preserve">Interest earned to date</t>
        </is>
      </c>
    </row>
    <row r="10">
      <c r="H10" s="11">
        <f>TODAY()</f>
        <v>46208</v>
      </c>
      <c r="I10" t="inlineStr" s="7">
        <is>
          <t xml:space="preserve">Interest</t>
        </is>
      </c>
      <c r="J10" t="inlineStr" s="7">
        <is>
          <t xml:space="preserve">UNO</t>
        </is>
      </c>
      <c r="K10" t="inlineStr" s="7">
        <is>
          <t xml:space="preserve">UNO - Digi Savings</t>
        </is>
      </c>
      <c r="L10" s="23">
        <f>IFERROR(VLOOKUP(K10,Interest!$D$6:$Q$19,13,FALSE),0)</f>
        <v>81.64</v>
      </c>
      <c r="M10" t="inlineStr" s="7">
        <is>
          <t xml:space="preserve">Interest earned to date</t>
        </is>
      </c>
    </row>
    <row r="11">
      <c r="H11" s="11">
        <f>TODAY()</f>
        <v>46208</v>
      </c>
      <c r="I11" t="inlineStr" s="7">
        <is>
          <t xml:space="preserve">Interest</t>
        </is>
      </c>
      <c r="J11" t="inlineStr" s="7">
        <is>
          <t xml:space="preserve">UNO</t>
        </is>
      </c>
      <c r="K11" t="inlineStr" s="7">
        <is>
          <t xml:space="preserve">UNO - Time Deposit 1</t>
        </is>
      </c>
      <c r="L11" s="23">
        <f>IFERROR(VLOOKUP(K11,Interest!$D$6:$Q$19,13,FALSE),0)</f>
        <v>250.0</v>
      </c>
      <c r="M11" t="inlineStr" s="7">
        <is>
          <t xml:space="preserve">Interest earned to date</t>
        </is>
      </c>
    </row>
    <row r="12">
      <c r="H12" s="11">
        <f>TODAY()</f>
        <v>46208</v>
      </c>
      <c r="I12" t="inlineStr" s="7">
        <is>
          <t xml:space="preserve">Interest</t>
        </is>
      </c>
      <c r="J12" t="inlineStr" s="7">
        <is>
          <t xml:space="preserve">UNO</t>
        </is>
      </c>
      <c r="K12" t="inlineStr" s="7">
        <is>
          <t xml:space="preserve">UNO - Time Deposit 2</t>
        </is>
      </c>
      <c r="L12" s="23">
        <f>IFERROR(VLOOKUP(K12,Interest!$D$6:$Q$19,13,FALSE),0)</f>
        <v>250.0</v>
      </c>
      <c r="M12" t="inlineStr" s="7">
        <is>
          <t xml:space="preserve">Interest earned to date</t>
        </is>
      </c>
    </row>
    <row r="13">
      <c r="H13" s="11">
        <f>TODAY()</f>
        <v>46208</v>
      </c>
      <c r="I13" t="inlineStr" s="7">
        <is>
          <t xml:space="preserve">Interest</t>
        </is>
      </c>
      <c r="J13" t="inlineStr" s="7">
        <is>
          <t xml:space="preserve">Tonik</t>
        </is>
      </c>
      <c r="K13" t="inlineStr" s="7">
        <is>
          <t xml:space="preserve">Tonik - Stash 1</t>
        </is>
      </c>
      <c r="L13" s="23">
        <f>IFERROR(VLOOKUP(K13,Interest!$D$6:$Q$19,13,FALSE),0)</f>
        <v>33.33</v>
      </c>
      <c r="M13" t="inlineStr" s="7">
        <is>
          <t xml:space="preserve">Interest earned to date</t>
        </is>
      </c>
    </row>
    <row r="14">
      <c r="H14" s="11">
        <f>TODAY()</f>
        <v>46208</v>
      </c>
      <c r="I14" t="inlineStr" s="7">
        <is>
          <t xml:space="preserve">Interest</t>
        </is>
      </c>
      <c r="J14" t="inlineStr" s="7">
        <is>
          <t xml:space="preserve">Tonik</t>
        </is>
      </c>
      <c r="K14" t="inlineStr" s="7">
        <is>
          <t xml:space="preserve">Tonik - Stash 2</t>
        </is>
      </c>
      <c r="L14" s="23">
        <f>IFERROR(VLOOKUP(K14,Interest!$D$6:$Q$19,13,FALSE),0)</f>
        <v>33.33</v>
      </c>
      <c r="M14" t="inlineStr" s="7">
        <is>
          <t xml:space="preserve">Interest earned to date</t>
        </is>
      </c>
    </row>
    <row r="15">
      <c r="H15" s="11">
        <f>TODAY()</f>
        <v>46208</v>
      </c>
      <c r="I15" t="inlineStr" s="7">
        <is>
          <t xml:space="preserve">Interest</t>
        </is>
      </c>
      <c r="J15" t="inlineStr" s="7">
        <is>
          <t xml:space="preserve">Tonik</t>
        </is>
      </c>
      <c r="K15" t="inlineStr" s="7">
        <is>
          <t xml:space="preserve">Tonik - Time Deposit</t>
        </is>
      </c>
      <c r="L15" s="23">
        <f>IFERROR(VLOOKUP(K15,Interest!$D$6:$Q$19,13,FALSE),0)</f>
        <v>200.0</v>
      </c>
      <c r="M15" t="inlineStr" s="7">
        <is>
          <t xml:space="preserve">Interest earned to date</t>
        </is>
      </c>
    </row>
    <row r="16">
      <c r="H16" s="11">
        <f>TODAY()</f>
        <v>46208</v>
      </c>
      <c r="I16" t="inlineStr" s="7">
        <is>
          <t xml:space="preserve">Interest</t>
        </is>
      </c>
      <c r="J16" t="inlineStr" s="7">
        <is>
          <t xml:space="preserve">Banko</t>
        </is>
      </c>
      <c r="K16" t="inlineStr" s="7">
        <is>
          <t xml:space="preserve">Banko - Savings</t>
        </is>
      </c>
      <c r="L16" s="23">
        <f>IFERROR(VLOOKUP(K16,Interest!$D$6:$Q$19,13,FALSE),0)</f>
        <v>70.02</v>
      </c>
      <c r="M16" t="inlineStr" s="7">
        <is>
          <t xml:space="preserve">Interest earned to date</t>
        </is>
      </c>
    </row>
    <row r="17">
      <c r="H17" s="11">
        <f>TODAY()</f>
        <v>46208</v>
      </c>
      <c r="I17" t="inlineStr" s="7">
        <is>
          <t xml:space="preserve">Interest</t>
        </is>
      </c>
      <c r="J17" t="inlineStr" s="7">
        <is>
          <t xml:space="preserve">CIMB</t>
        </is>
      </c>
      <c r="K17" t="inlineStr" s="7">
        <is>
          <t xml:space="preserve">CIMB - Savings</t>
        </is>
      </c>
      <c r="L17" s="23">
        <f>IFERROR(VLOOKUP(K17,Interest!$D$6:$Q$19,13,FALSE),0)</f>
        <v>21.45</v>
      </c>
      <c r="M17" t="inlineStr" s="7">
        <is>
          <t xml:space="preserve">Interest earned to date</t>
        </is>
      </c>
    </row>
    <row r="18">
      <c r="H18" s="11">
        <f>TODAY()</f>
        <v>46208</v>
      </c>
      <c r="I18" t="inlineStr" s="7">
        <is>
          <t xml:space="preserve">Interest</t>
        </is>
      </c>
      <c r="J18" t="inlineStr" s="7">
        <is>
          <t xml:space="preserve">GoTyme</t>
        </is>
      </c>
      <c r="K18" t="inlineStr" s="7">
        <is>
          <t xml:space="preserve">GoTyme - GoSave</t>
        </is>
      </c>
      <c r="L18" s="23">
        <f>IFERROR(VLOOKUP(K18,Interest!$D$6:$Q$19,13,FALSE),0)</f>
        <v>30.0</v>
      </c>
      <c r="M18" t="inlineStr" s="7">
        <is>
          <t xml:space="preserve">Interest earned to date</t>
        </is>
      </c>
    </row>
    <row r="19">
      <c r="H19" s="11">
        <f>TODAY()</f>
        <v>46208</v>
      </c>
      <c r="I19" t="inlineStr" s="7">
        <is>
          <t xml:space="preserve">Interest</t>
        </is>
      </c>
      <c r="J19" t="inlineStr" s="7">
        <is>
          <t xml:space="preserve">Maribank</t>
        </is>
      </c>
      <c r="K19" t="inlineStr" s="7">
        <is>
          <t xml:space="preserve">Maribank - Savings</t>
        </is>
      </c>
      <c r="L19" s="23">
        <f>IFERROR(VLOOKUP(K19,Interest!$D$6:$Q$19,13,FALSE),0)</f>
        <v>24.25</v>
      </c>
      <c r="M19" t="inlineStr" s="7">
        <is>
          <t xml:space="preserve">Interest earned to date</t>
        </is>
      </c>
    </row>
    <row r="20" ht="18" customHeight="1">
      <c r="K20" t="inlineStr" s="15">
        <is>
          <t xml:space="preserve">Total interest</t>
        </is>
      </c>
      <c r="L20" s="16">
        <f>SUM(L6:L19)</f>
        <v>2559.84</v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F4"/>
    <mergeCell ref="H4:M4"/>
  </mergeCells>
  <dataValidations count="3">
    <dataValidation type="list" allowBlank="1" showInputMessage="1" showErrorMessage="1" promptTitle="Pick a type" prompt="Choose the transaction type. (Interest is added automatically on the right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