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shboard" sheetId="1" r:id="rId1"/>
    <sheet name="Deposit" sheetId="2" r:id="rId2"/>
    <sheet name="Transactions" sheetId="3" r:id="rId3"/>
    <sheet name="Balance" sheetId="4" r:id="rId4"/>
    <sheet name="Interest" sheetId="5" r:id="rId5"/>
  </sheets>
  <definedNames>
    <definedName name="BankList">Dashboard!$A$17:$A$23</definedName>
    <definedName name="AccountList">Interest!$D$6:$D$19</definedName>
  </definedNames>
  <calcPr calcId="191029" calcMode="auto" fullCalcOnLoad="1"/>
</workbook>
</file>

<file path=xl/styles.xml><?xml version="1.0" encoding="utf-8"?>
<styleSheet xmlns="http://schemas.openxmlformats.org/spreadsheetml/2006/main">
  <numFmts count="1">
    <numFmt numFmtId="164" formatCode="[$₱-3409]#,##0.00"/>
  </numFmts>
  <fonts count="10">
    <font>
      <sz val="11"/>
      <name val="Calibri"/>
      <color rgb="FF000000"/>
    </font>
    <font>
      <b/>
      <sz val="18"/>
      <name val="Calibri"/>
      <color rgb="FFFFFFFF"/>
    </font>
    <font>
      <b/>
      <sz val="11"/>
      <name val="Calibri"/>
      <color rgb="FFFFFFFF"/>
    </font>
    <font>
      <b/>
      <sz val="11"/>
      <name val="Calibri"/>
      <color rgb="FF1F3864"/>
    </font>
    <font>
      <b/>
      <sz val="20"/>
      <name val="Calibri"/>
      <color rgb="FF1F3864"/>
    </font>
    <font>
      <i/>
      <sz val="10"/>
      <name val="Calibri"/>
      <color rgb="FF808080"/>
    </font>
    <font>
      <b/>
      <sz val="11"/>
      <name val="Calibri"/>
      <color rgb="FF000000"/>
    </font>
    <font>
      <b/>
      <sz val="12"/>
      <name val="Calibri"/>
      <color rgb="FFFFFFFF"/>
    </font>
    <font>
      <sz val="9"/>
      <name val="Calibri"/>
      <color rgb="FF808080"/>
    </font>
    <font>
      <b/>
      <sz val="11"/>
      <name val="Calibri"/>
      <color rgb="FF375623"/>
    </font>
  </fonts>
  <fills count="9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2E549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2EFDA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3">
    <xf numFmtId="0" fontId="0" fillId="0" borderId="0" xfId="0" applyFont="1" applyFill="1" applyBorder="1"/>
    <xf numFmtId="0" fontId="1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7" fillId="4" borderId="0" xfId="0" applyFont="1" applyFill="1" applyBorder="1" applyAlignment="1">
      <alignment horizontal="left" vertical="center"/>
    </xf>
    <xf numFmtId="0" fontId="5" fillId="5" borderId="0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vertical="center"/>
    </xf>
    <xf numFmtId="164" fontId="0" fillId="0" borderId="1" xfId="0" applyFont="1" applyFill="1" applyBorder="1" applyNumberFormat="1" applyAlignment="1">
      <alignment vertical="center"/>
    </xf>
    <xf numFmtId="10" fontId="0" fillId="0" borderId="1" xfId="0" applyFont="1" applyFill="1" applyBorder="1" applyNumberFormat="1" applyAlignment="1">
      <alignment horizontal="center" vertical="center"/>
    </xf>
    <xf numFmtId="1" fontId="0" fillId="0" borderId="1" xfId="0" applyFont="1" applyFill="1" applyBorder="1" applyNumberFormat="1" applyAlignment="1">
      <alignment horizontal="center" vertical="center"/>
    </xf>
    <xf numFmtId="14" fontId="0" fillId="0" borderId="1" xfId="0" applyFont="1" applyFill="1" applyBorder="1" applyNumberFormat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164" fontId="4" fillId="7" borderId="1" xfId="0" applyFont="1" applyFill="1" applyBorder="1" applyNumberFormat="1" applyAlignment="1">
      <alignment horizontal="center" vertical="center"/>
    </xf>
    <xf numFmtId="1" fontId="4" fillId="7" borderId="1" xfId="0" applyFont="1" applyFill="1" applyBorder="1" applyNumberFormat="1" applyAlignment="1">
      <alignment horizontal="center" vertical="center"/>
    </xf>
    <xf numFmtId="0" fontId="6" fillId="8" borderId="1" xfId="0" applyFont="1" applyFill="1" applyBorder="1" applyAlignment="1">
      <alignment horizontal="left" vertical="center"/>
    </xf>
    <xf numFmtId="164" fontId="6" fillId="8" borderId="1" xfId="0" applyFont="1" applyFill="1" applyBorder="1" applyNumberFormat="1" applyAlignment="1">
      <alignment vertical="center"/>
    </xf>
    <xf numFmtId="0" fontId="8" fillId="5" borderId="0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horizontal="center" vertical="center"/>
    </xf>
    <xf numFmtId="164" fontId="0" fillId="0" borderId="0" xfId="0" applyFont="1" applyFill="1" applyBorder="1" applyNumberFormat="1" applyAlignment="1">
      <alignment vertical="center"/>
    </xf>
    <xf numFmtId="14" fontId="0" fillId="0" borderId="0" xfId="0" applyFont="1" applyFill="1" applyBorder="1" applyNumberFormat="1" applyAlignment="1">
      <alignment horizontal="center" vertical="center"/>
    </xf>
    <xf numFmtId="0" fontId="0" fillId="0" borderId="0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left" vertical="center"/>
    </xf>
    <xf numFmtId="164" fontId="9" fillId="8" borderId="1" xfId="0" applyFont="1" applyFill="1" applyBorder="1" applyNumberFormat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3" fillId="5" borderId="0" xfId="0" applyFont="1" applyFill="1" applyBorder="1" applyAlignment="1">
      <alignment horizontal="right" vertical="center"/>
    </xf>
    <xf numFmtId="0" fontId="3" fillId="7" borderId="1" xfId="0" applyFont="1" applyFill="1" applyBorder="1" applyAlignment="1">
      <alignment horizontal="left" vertical="center"/>
    </xf>
    <xf numFmtId="164" fontId="3" fillId="0" borderId="1" xfId="0" applyFont="1" applyFill="1" applyBorder="1" applyNumberFormat="1" applyAlignment="1">
      <alignment horizontal="right" vertical="center"/>
    </xf>
    <xf numFmtId="10" fontId="9" fillId="0" borderId="1" xfId="0" applyFont="1" applyFill="1" applyBorder="1" applyNumberFormat="1" applyAlignment="1">
      <alignment horizontal="right" vertical="center"/>
    </xf>
    <xf numFmtId="164" fontId="3" fillId="6" borderId="1" xfId="0" applyFont="1" applyFill="1" applyBorder="1" applyNumberFormat="1" applyAlignment="1">
      <alignment horizontal="right" vertical="center"/>
    </xf>
    <xf numFmtId="164" fontId="0" fillId="0" borderId="1" xfId="0" applyFont="1" applyFill="1" applyBorder="1" applyNumberFormat="1" applyAlignment="1">
      <alignment horizontal="right" vertical="center"/>
    </xf>
    <xf numFmtId="3" fontId="0" fillId="0" borderId="1" xfId="0" applyFont="1" applyFill="1" applyBorder="1" applyNumberFormat="1" applyAlignment="1">
      <alignment horizontal="right" vertical="center"/>
    </xf>
    <xf numFmtId="14" fontId="0" fillId="6" borderId="1" xfId="0" applyFont="1" applyFill="1" applyBorder="1" applyNumberFormat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pPr>
              <a:defRPr sz="1200" b="1">
                <a:solidFill>
                  <a:srgbClr val="1F3864"/>
                </a:solidFill>
              </a:defRPr>
            </a:pPr>
            <a:r>
              <a:rPr lang="en-US" sz="1200" b="1">
                <a:solidFill>
                  <a:srgbClr val="1F3864"/>
                </a:solidFill>
              </a:rPr>
              <a:t>Savings Growth by Bank (Cumulative Balance)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Dashboard!$B$79</c:f>
              <c:strCache>
                <c:ptCount val="1"/>
                <c:pt idx="0">
                  <c:v>Maya</c:v>
                </c:pt>
              </c:strCache>
            </c:strRef>
          </c:tx>
          <c:spPr>
            <a:ln w="22225" cap="rnd">
              <a:solidFill>
                <a:srgbClr val="4472C4"/>
              </a:solidFill>
              <a:round/>
            </a:ln>
          </c:spPr>
          <c:marker>
            <c:symbol val="none"/>
          </c:marker>
          <c:cat>
            <c:strRef>
              <c:f>Dashboard!$A$80:$A$103</c:f>
              <c:strCache>
                <c:ptCount val="24"/>
                <c:pt idx="0">
                  <c:v>Jan 2026</c:v>
                </c:pt>
                <c:pt idx="1">
                  <c:v>Feb 2026</c:v>
                </c:pt>
                <c:pt idx="2">
                  <c:v>Mar 2026</c:v>
                </c:pt>
                <c:pt idx="3">
                  <c:v>Apr 2026</c:v>
                </c:pt>
                <c:pt idx="4">
                  <c:v>May 2026</c:v>
                </c:pt>
                <c:pt idx="5">
                  <c:v>Jun 2026</c:v>
                </c:pt>
                <c:pt idx="6">
                  <c:v>Jul 2026</c:v>
                </c:pt>
                <c:pt idx="7">
                  <c:v>Aug 2026</c:v>
                </c:pt>
                <c:pt idx="8">
                  <c:v>Sep 2026</c:v>
                </c:pt>
                <c:pt idx="9">
                  <c:v>Oct 2026</c:v>
                </c:pt>
                <c:pt idx="10">
                  <c:v>Nov 2026</c:v>
                </c:pt>
                <c:pt idx="11">
                  <c:v>Dec 2026</c:v>
                </c:pt>
                <c:pt idx="12">
                  <c:v>Jan 2027</c:v>
                </c:pt>
                <c:pt idx="13">
                  <c:v>Feb 2027</c:v>
                </c:pt>
                <c:pt idx="14">
                  <c:v>Mar 2027</c:v>
                </c:pt>
                <c:pt idx="15">
                  <c:v>Apr 2027</c:v>
                </c:pt>
                <c:pt idx="16">
                  <c:v>May 2027</c:v>
                </c:pt>
                <c:pt idx="17">
                  <c:v>Jun 2027</c:v>
                </c:pt>
                <c:pt idx="18">
                  <c:v>Jul 2027</c:v>
                </c:pt>
                <c:pt idx="19">
                  <c:v>Aug 2027</c:v>
                </c:pt>
                <c:pt idx="20">
                  <c:v>Sep 2027</c:v>
                </c:pt>
                <c:pt idx="21">
                  <c:v>Oct 2027</c:v>
                </c:pt>
                <c:pt idx="22">
                  <c:v>Nov 2027</c:v>
                </c:pt>
                <c:pt idx="23">
                  <c:v>Dec 2027</c:v>
                </c:pt>
              </c:strCache>
            </c:strRef>
          </c:cat>
          <c:val>
            <c:numRef>
              <c:f>Dashboard!$B$80:$B$103</c:f>
              <c:numCache>
                <c:formatCode>General</c:formatCode>
                <c:ptCount val="24"/>
                <c:pt idx="0">
                  <c:v>273000.0</c:v>
                </c:pt>
                <c:pt idx="1">
                  <c:v>274518.2827</c:v>
                </c:pt>
                <c:pt idx="2">
                  <c:v>276045.4702</c:v>
                </c:pt>
                <c:pt idx="3">
                  <c:v>277581.6181</c:v>
                </c:pt>
                <c:pt idx="4">
                  <c:v>279126.7825</c:v>
                </c:pt>
                <c:pt idx="5">
                  <c:v>280681.0197</c:v>
                </c:pt>
                <c:pt idx="6">
                  <c:v>282244.3866</c:v>
                </c:pt>
                <c:pt idx="7">
                  <c:v>283816.9403</c:v>
                </c:pt>
                <c:pt idx="8">
                  <c:v>285398.7383</c:v>
                </c:pt>
                <c:pt idx="9">
                  <c:v>286989.8385</c:v>
                </c:pt>
                <c:pt idx="10">
                  <c:v>288590.2994</c:v>
                </c:pt>
                <c:pt idx="11">
                  <c:v>290200.1795</c:v>
                </c:pt>
                <c:pt idx="12">
                  <c:v>291819.5381</c:v>
                </c:pt>
                <c:pt idx="13">
                  <c:v>293448.4346</c:v>
                </c:pt>
                <c:pt idx="14">
                  <c:v>295086.9288</c:v>
                </c:pt>
                <c:pt idx="15">
                  <c:v>296735.0811</c:v>
                </c:pt>
                <c:pt idx="16">
                  <c:v>298392.9523</c:v>
                </c:pt>
                <c:pt idx="17">
                  <c:v>300060.6034</c:v>
                </c:pt>
                <c:pt idx="18">
                  <c:v>301738.0959</c:v>
                </c:pt>
                <c:pt idx="19">
                  <c:v>303425.4918</c:v>
                </c:pt>
                <c:pt idx="20">
                  <c:v>305122.8534</c:v>
                </c:pt>
                <c:pt idx="21">
                  <c:v>306830.2436</c:v>
                </c:pt>
                <c:pt idx="22">
                  <c:v>308547.7254</c:v>
                </c:pt>
                <c:pt idx="23">
                  <c:v>310275.3626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Dashboard!$C$79</c:f>
              <c:strCache>
                <c:ptCount val="1"/>
                <c:pt idx="0">
                  <c:v>UNO</c:v>
                </c:pt>
              </c:strCache>
            </c:strRef>
          </c:tx>
          <c:spPr>
            <a:ln w="22225" cap="rnd">
              <a:solidFill>
                <a:srgbClr val="ED7D31"/>
              </a:solidFill>
              <a:round/>
            </a:ln>
          </c:spPr>
          <c:marker>
            <c:symbol val="none"/>
          </c:marker>
          <c:cat>
            <c:strRef>
              <c:f>Dashboard!$A$80:$A$103</c:f>
              <c:strCache>
                <c:ptCount val="24"/>
                <c:pt idx="0">
                  <c:v>Jan 2026</c:v>
                </c:pt>
                <c:pt idx="1">
                  <c:v>Feb 2026</c:v>
                </c:pt>
                <c:pt idx="2">
                  <c:v>Mar 2026</c:v>
                </c:pt>
                <c:pt idx="3">
                  <c:v>Apr 2026</c:v>
                </c:pt>
                <c:pt idx="4">
                  <c:v>May 2026</c:v>
                </c:pt>
                <c:pt idx="5">
                  <c:v>Jun 2026</c:v>
                </c:pt>
                <c:pt idx="6">
                  <c:v>Jul 2026</c:v>
                </c:pt>
                <c:pt idx="7">
                  <c:v>Aug 2026</c:v>
                </c:pt>
                <c:pt idx="8">
                  <c:v>Sep 2026</c:v>
                </c:pt>
                <c:pt idx="9">
                  <c:v>Oct 2026</c:v>
                </c:pt>
                <c:pt idx="10">
                  <c:v>Nov 2026</c:v>
                </c:pt>
                <c:pt idx="11">
                  <c:v>Dec 2026</c:v>
                </c:pt>
                <c:pt idx="12">
                  <c:v>Jan 2027</c:v>
                </c:pt>
                <c:pt idx="13">
                  <c:v>Feb 2027</c:v>
                </c:pt>
                <c:pt idx="14">
                  <c:v>Mar 2027</c:v>
                </c:pt>
                <c:pt idx="15">
                  <c:v>Apr 2027</c:v>
                </c:pt>
                <c:pt idx="16">
                  <c:v>May 2027</c:v>
                </c:pt>
                <c:pt idx="17">
                  <c:v>Jun 2027</c:v>
                </c:pt>
                <c:pt idx="18">
                  <c:v>Jul 2027</c:v>
                </c:pt>
                <c:pt idx="19">
                  <c:v>Aug 2027</c:v>
                </c:pt>
                <c:pt idx="20">
                  <c:v>Sep 2027</c:v>
                </c:pt>
                <c:pt idx="21">
                  <c:v>Oct 2027</c:v>
                </c:pt>
                <c:pt idx="22">
                  <c:v>Nov 2027</c:v>
                </c:pt>
                <c:pt idx="23">
                  <c:v>Dec 2027</c:v>
                </c:pt>
              </c:strCache>
            </c:strRef>
          </c:cat>
          <c:val>
            <c:numRef>
              <c:f>Dashboard!$C$80:$C$103</c:f>
              <c:numCache>
                <c:formatCode>General</c:formatCode>
                <c:ptCount val="24"/>
                <c:pt idx="0">
                  <c:v>125000.0</c:v>
                </c:pt>
                <c:pt idx="1">
                  <c:v>125573.0196</c:v>
                </c:pt>
                <c:pt idx="2">
                  <c:v>126148.7525</c:v>
                </c:pt>
                <c:pt idx="3">
                  <c:v>126727.2117</c:v>
                </c:pt>
                <c:pt idx="4">
                  <c:v>127308.4106</c:v>
                </c:pt>
                <c:pt idx="5">
                  <c:v>127892.3623</c:v>
                </c:pt>
                <c:pt idx="6">
                  <c:v>128479.0801</c:v>
                </c:pt>
                <c:pt idx="7">
                  <c:v>129068.5775</c:v>
                </c:pt>
                <c:pt idx="8">
                  <c:v>129660.8679</c:v>
                </c:pt>
                <c:pt idx="9">
                  <c:v>130255.9648</c:v>
                </c:pt>
                <c:pt idx="10">
                  <c:v>130853.8817</c:v>
                </c:pt>
                <c:pt idx="11">
                  <c:v>131454.6324</c:v>
                </c:pt>
                <c:pt idx="12">
                  <c:v>132058.2305</c:v>
                </c:pt>
                <c:pt idx="13">
                  <c:v>132664.6898</c:v>
                </c:pt>
                <c:pt idx="14">
                  <c:v>133274.0242</c:v>
                </c:pt>
                <c:pt idx="15">
                  <c:v>133886.2475</c:v>
                </c:pt>
                <c:pt idx="16">
                  <c:v>134501.3739</c:v>
                </c:pt>
                <c:pt idx="17">
                  <c:v>135119.4172</c:v>
                </c:pt>
                <c:pt idx="18">
                  <c:v>135740.3917</c:v>
                </c:pt>
                <c:pt idx="19">
                  <c:v>136364.3115</c:v>
                </c:pt>
                <c:pt idx="20">
                  <c:v>136991.1909</c:v>
                </c:pt>
                <c:pt idx="21">
                  <c:v>137621.0443</c:v>
                </c:pt>
                <c:pt idx="22">
                  <c:v>138253.8859</c:v>
                </c:pt>
                <c:pt idx="23">
                  <c:v>138889.7304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Dashboard!$D$79</c:f>
              <c:strCache>
                <c:ptCount val="1"/>
                <c:pt idx="0">
                  <c:v>Tonik</c:v>
                </c:pt>
              </c:strCache>
            </c:strRef>
          </c:tx>
          <c:spPr>
            <a:ln w="22225" cap="rnd">
              <a:solidFill>
                <a:srgbClr val="70AD47"/>
              </a:solidFill>
              <a:round/>
            </a:ln>
          </c:spPr>
          <c:marker>
            <c:symbol val="none"/>
          </c:marker>
          <c:cat>
            <c:strRef>
              <c:f>Dashboard!$A$80:$A$103</c:f>
              <c:strCache>
                <c:ptCount val="24"/>
                <c:pt idx="0">
                  <c:v>Jan 2026</c:v>
                </c:pt>
                <c:pt idx="1">
                  <c:v>Feb 2026</c:v>
                </c:pt>
                <c:pt idx="2">
                  <c:v>Mar 2026</c:v>
                </c:pt>
                <c:pt idx="3">
                  <c:v>Apr 2026</c:v>
                </c:pt>
                <c:pt idx="4">
                  <c:v>May 2026</c:v>
                </c:pt>
                <c:pt idx="5">
                  <c:v>Jun 2026</c:v>
                </c:pt>
                <c:pt idx="6">
                  <c:v>Jul 2026</c:v>
                </c:pt>
                <c:pt idx="7">
                  <c:v>Aug 2026</c:v>
                </c:pt>
                <c:pt idx="8">
                  <c:v>Sep 2026</c:v>
                </c:pt>
                <c:pt idx="9">
                  <c:v>Oct 2026</c:v>
                </c:pt>
                <c:pt idx="10">
                  <c:v>Nov 2026</c:v>
                </c:pt>
                <c:pt idx="11">
                  <c:v>Dec 2026</c:v>
                </c:pt>
                <c:pt idx="12">
                  <c:v>Jan 2027</c:v>
                </c:pt>
                <c:pt idx="13">
                  <c:v>Feb 2027</c:v>
                </c:pt>
                <c:pt idx="14">
                  <c:v>Mar 2027</c:v>
                </c:pt>
                <c:pt idx="15">
                  <c:v>Apr 2027</c:v>
                </c:pt>
                <c:pt idx="16">
                  <c:v>May 2027</c:v>
                </c:pt>
                <c:pt idx="17">
                  <c:v>Jun 2027</c:v>
                </c:pt>
                <c:pt idx="18">
                  <c:v>Jul 2027</c:v>
                </c:pt>
                <c:pt idx="19">
                  <c:v>Aug 2027</c:v>
                </c:pt>
                <c:pt idx="20">
                  <c:v>Sep 2027</c:v>
                </c:pt>
                <c:pt idx="21">
                  <c:v>Oct 2027</c:v>
                </c:pt>
                <c:pt idx="22">
                  <c:v>Nov 2027</c:v>
                </c:pt>
                <c:pt idx="23">
                  <c:v>Dec 2027</c:v>
                </c:pt>
              </c:strCache>
            </c:strRef>
          </c:cat>
          <c:val>
            <c:numRef>
              <c:f>Dashboard!$D$80:$D$103</c:f>
              <c:numCache>
                <c:formatCode>General</c:formatCode>
                <c:ptCount val="24"/>
                <c:pt idx="0">
                  <c:v>50000.0</c:v>
                </c:pt>
                <c:pt idx="1">
                  <c:v>50266.6667</c:v>
                </c:pt>
                <c:pt idx="2">
                  <c:v>50534.8889</c:v>
                </c:pt>
                <c:pt idx="3">
                  <c:v>50804.6763</c:v>
                </c:pt>
                <c:pt idx="4">
                  <c:v>51076.0386</c:v>
                </c:pt>
                <c:pt idx="5">
                  <c:v>51348.9855</c:v>
                </c:pt>
                <c:pt idx="6">
                  <c:v>51623.5269</c:v>
                </c:pt>
                <c:pt idx="7">
                  <c:v>51899.6725</c:v>
                </c:pt>
                <c:pt idx="8">
                  <c:v>52177.4325</c:v>
                </c:pt>
                <c:pt idx="9">
                  <c:v>52456.8167</c:v>
                </c:pt>
                <c:pt idx="10">
                  <c:v>52737.8353</c:v>
                </c:pt>
                <c:pt idx="11">
                  <c:v>53020.4983</c:v>
                </c:pt>
                <c:pt idx="12">
                  <c:v>53304.8161</c:v>
                </c:pt>
                <c:pt idx="13">
                  <c:v>53590.7987</c:v>
                </c:pt>
                <c:pt idx="14">
                  <c:v>53878.4567</c:v>
                </c:pt>
                <c:pt idx="15">
                  <c:v>54167.8003</c:v>
                </c:pt>
                <c:pt idx="16">
                  <c:v>54458.8401</c:v>
                </c:pt>
                <c:pt idx="17">
                  <c:v>54751.5865</c:v>
                </c:pt>
                <c:pt idx="18">
                  <c:v>55046.0502</c:v>
                </c:pt>
                <c:pt idx="19">
                  <c:v>55342.2418</c:v>
                </c:pt>
                <c:pt idx="20">
                  <c:v>55640.1721</c:v>
                </c:pt>
                <c:pt idx="21">
                  <c:v>55939.8519</c:v>
                </c:pt>
                <c:pt idx="22">
                  <c:v>56241.292</c:v>
                </c:pt>
                <c:pt idx="23">
                  <c:v>56544.5034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Dashboard!$E$79</c:f>
              <c:strCache>
                <c:ptCount val="1"/>
                <c:pt idx="0">
                  <c:v>Banko</c:v>
                </c:pt>
              </c:strCache>
            </c:strRef>
          </c:tx>
          <c:spPr>
            <a:ln w="22225" cap="rnd">
              <a:solidFill>
                <a:srgbClr val="FFC000"/>
              </a:solidFill>
              <a:round/>
            </a:ln>
          </c:spPr>
          <c:marker>
            <c:symbol val="none"/>
          </c:marker>
          <c:cat>
            <c:strRef>
              <c:f>Dashboard!$A$80:$A$103</c:f>
              <c:strCache>
                <c:ptCount val="24"/>
                <c:pt idx="0">
                  <c:v>Jan 2026</c:v>
                </c:pt>
                <c:pt idx="1">
                  <c:v>Feb 2026</c:v>
                </c:pt>
                <c:pt idx="2">
                  <c:v>Mar 2026</c:v>
                </c:pt>
                <c:pt idx="3">
                  <c:v>Apr 2026</c:v>
                </c:pt>
                <c:pt idx="4">
                  <c:v>May 2026</c:v>
                </c:pt>
                <c:pt idx="5">
                  <c:v>Jun 2026</c:v>
                </c:pt>
                <c:pt idx="6">
                  <c:v>Jul 2026</c:v>
                </c:pt>
                <c:pt idx="7">
                  <c:v>Aug 2026</c:v>
                </c:pt>
                <c:pt idx="8">
                  <c:v>Sep 2026</c:v>
                </c:pt>
                <c:pt idx="9">
                  <c:v>Oct 2026</c:v>
                </c:pt>
                <c:pt idx="10">
                  <c:v>Nov 2026</c:v>
                </c:pt>
                <c:pt idx="11">
                  <c:v>Dec 2026</c:v>
                </c:pt>
                <c:pt idx="12">
                  <c:v>Jan 2027</c:v>
                </c:pt>
                <c:pt idx="13">
                  <c:v>Feb 2027</c:v>
                </c:pt>
                <c:pt idx="14">
                  <c:v>Mar 2027</c:v>
                </c:pt>
                <c:pt idx="15">
                  <c:v>Apr 2027</c:v>
                </c:pt>
                <c:pt idx="16">
                  <c:v>May 2027</c:v>
                </c:pt>
                <c:pt idx="17">
                  <c:v>Jun 2027</c:v>
                </c:pt>
                <c:pt idx="18">
                  <c:v>Jul 2027</c:v>
                </c:pt>
                <c:pt idx="19">
                  <c:v>Aug 2027</c:v>
                </c:pt>
                <c:pt idx="20">
                  <c:v>Sep 2027</c:v>
                </c:pt>
                <c:pt idx="21">
                  <c:v>Oct 2027</c:v>
                </c:pt>
                <c:pt idx="22">
                  <c:v>Nov 2027</c:v>
                </c:pt>
                <c:pt idx="23">
                  <c:v>Dec 2027</c:v>
                </c:pt>
              </c:strCache>
            </c:strRef>
          </c:cat>
          <c:val>
            <c:numRef>
              <c:f>Dashboard!$E$80:$E$103</c:f>
              <c:numCache>
                <c:formatCode>General</c:formatCode>
                <c:ptCount val="24"/>
                <c:pt idx="0">
                  <c:v>15000.0</c:v>
                </c:pt>
                <c:pt idx="1">
                  <c:v>15062.6261</c:v>
                </c:pt>
                <c:pt idx="2">
                  <c:v>15125.5137</c:v>
                </c:pt>
                <c:pt idx="3">
                  <c:v>15188.6638</c:v>
                </c:pt>
                <c:pt idx="4">
                  <c:v>15252.0775</c:v>
                </c:pt>
                <c:pt idx="5">
                  <c:v>15315.7561</c:v>
                </c:pt>
                <c:pt idx="6">
                  <c:v>15379.7005</c:v>
                </c:pt>
                <c:pt idx="7">
                  <c:v>15443.9118</c:v>
                </c:pt>
                <c:pt idx="8">
                  <c:v>15508.3913</c:v>
                </c:pt>
                <c:pt idx="9">
                  <c:v>15573.14</c:v>
                </c:pt>
                <c:pt idx="10">
                  <c:v>15638.159</c:v>
                </c:pt>
                <c:pt idx="11">
                  <c:v>15703.4494</c:v>
                </c:pt>
                <c:pt idx="12">
                  <c:v>15769.0124</c:v>
                </c:pt>
                <c:pt idx="13">
                  <c:v>15834.8492</c:v>
                </c:pt>
                <c:pt idx="14">
                  <c:v>15900.9609</c:v>
                </c:pt>
                <c:pt idx="15">
                  <c:v>15967.3485</c:v>
                </c:pt>
                <c:pt idx="16">
                  <c:v>16034.0134</c:v>
                </c:pt>
                <c:pt idx="17">
                  <c:v>16100.9566</c:v>
                </c:pt>
                <c:pt idx="18">
                  <c:v>16168.1792</c:v>
                </c:pt>
                <c:pt idx="19">
                  <c:v>16235.6825</c:v>
                </c:pt>
                <c:pt idx="20">
                  <c:v>16303.4677</c:v>
                </c:pt>
                <c:pt idx="21">
                  <c:v>16371.5359</c:v>
                </c:pt>
                <c:pt idx="22">
                  <c:v>16439.8882</c:v>
                </c:pt>
                <c:pt idx="23">
                  <c:v>16508.5259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Dashboard!$F$79</c:f>
              <c:strCache>
                <c:ptCount val="1"/>
                <c:pt idx="0">
                  <c:v>CIMB</c:v>
                </c:pt>
              </c:strCache>
            </c:strRef>
          </c:tx>
          <c:spPr>
            <a:ln w="22225" cap="rnd">
              <a:solidFill>
                <a:srgbClr val="7030A0"/>
              </a:solidFill>
              <a:round/>
            </a:ln>
          </c:spPr>
          <c:marker>
            <c:symbol val="none"/>
          </c:marker>
          <c:cat>
            <c:strRef>
              <c:f>Dashboard!$A$80:$A$103</c:f>
              <c:strCache>
                <c:ptCount val="24"/>
                <c:pt idx="0">
                  <c:v>Jan 2026</c:v>
                </c:pt>
                <c:pt idx="1">
                  <c:v>Feb 2026</c:v>
                </c:pt>
                <c:pt idx="2">
                  <c:v>Mar 2026</c:v>
                </c:pt>
                <c:pt idx="3">
                  <c:v>Apr 2026</c:v>
                </c:pt>
                <c:pt idx="4">
                  <c:v>May 2026</c:v>
                </c:pt>
                <c:pt idx="5">
                  <c:v>Jun 2026</c:v>
                </c:pt>
                <c:pt idx="6">
                  <c:v>Jul 2026</c:v>
                </c:pt>
                <c:pt idx="7">
                  <c:v>Aug 2026</c:v>
                </c:pt>
                <c:pt idx="8">
                  <c:v>Sep 2026</c:v>
                </c:pt>
                <c:pt idx="9">
                  <c:v>Oct 2026</c:v>
                </c:pt>
                <c:pt idx="10">
                  <c:v>Nov 2026</c:v>
                </c:pt>
                <c:pt idx="11">
                  <c:v>Dec 2026</c:v>
                </c:pt>
                <c:pt idx="12">
                  <c:v>Jan 2027</c:v>
                </c:pt>
                <c:pt idx="13">
                  <c:v>Feb 2027</c:v>
                </c:pt>
                <c:pt idx="14">
                  <c:v>Mar 2027</c:v>
                </c:pt>
                <c:pt idx="15">
                  <c:v>Apr 2027</c:v>
                </c:pt>
                <c:pt idx="16">
                  <c:v>May 2027</c:v>
                </c:pt>
                <c:pt idx="17">
                  <c:v>Jun 2027</c:v>
                </c:pt>
                <c:pt idx="18">
                  <c:v>Jul 2027</c:v>
                </c:pt>
                <c:pt idx="19">
                  <c:v>Aug 2027</c:v>
                </c:pt>
                <c:pt idx="20">
                  <c:v>Sep 2027</c:v>
                </c:pt>
                <c:pt idx="21">
                  <c:v>Oct 2027</c:v>
                </c:pt>
                <c:pt idx="22">
                  <c:v>Nov 2027</c:v>
                </c:pt>
                <c:pt idx="23">
                  <c:v>Dec 2027</c:v>
                </c:pt>
              </c:strCache>
            </c:strRef>
          </c:cat>
          <c:val>
            <c:numRef>
              <c:f>Dashboard!$F$80:$F$103</c:f>
              <c:numCache>
                <c:formatCode>General</c:formatCode>
                <c:ptCount val="24"/>
                <c:pt idx="0">
                  <c:v>10000.0</c:v>
                </c:pt>
                <c:pt idx="1">
                  <c:v>10019.1844</c:v>
                </c:pt>
                <c:pt idx="2">
                  <c:v>10038.4057</c:v>
                </c:pt>
                <c:pt idx="3">
                  <c:v>10057.6638</c:v>
                </c:pt>
                <c:pt idx="4">
                  <c:v>10076.9589</c:v>
                </c:pt>
                <c:pt idx="5">
                  <c:v>10096.291</c:v>
                </c:pt>
                <c:pt idx="6">
                  <c:v>10115.6601</c:v>
                </c:pt>
                <c:pt idx="7">
                  <c:v>10135.0665</c:v>
                </c:pt>
                <c:pt idx="8">
                  <c:v>10154.51</c:v>
                </c:pt>
                <c:pt idx="9">
                  <c:v>10173.9909</c:v>
                </c:pt>
                <c:pt idx="10">
                  <c:v>10193.5091</c:v>
                </c:pt>
                <c:pt idx="11">
                  <c:v>10213.0648</c:v>
                </c:pt>
                <c:pt idx="12">
                  <c:v>10232.658</c:v>
                </c:pt>
                <c:pt idx="13">
                  <c:v>10252.2888</c:v>
                </c:pt>
                <c:pt idx="14">
                  <c:v>10271.9572</c:v>
                </c:pt>
                <c:pt idx="15">
                  <c:v>10291.6634</c:v>
                </c:pt>
                <c:pt idx="16">
                  <c:v>10311.4074</c:v>
                </c:pt>
                <c:pt idx="17">
                  <c:v>10331.1892</c:v>
                </c:pt>
                <c:pt idx="18">
                  <c:v>10351.009</c:v>
                </c:pt>
                <c:pt idx="19">
                  <c:v>10370.8669</c:v>
                </c:pt>
                <c:pt idx="20">
                  <c:v>10390.7628</c:v>
                </c:pt>
                <c:pt idx="21">
                  <c:v>10410.6969</c:v>
                </c:pt>
                <c:pt idx="22">
                  <c:v>10430.6692</c:v>
                </c:pt>
                <c:pt idx="23">
                  <c:v>10450.6799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Dashboard!$G$79</c:f>
              <c:strCache>
                <c:ptCount val="1"/>
                <c:pt idx="0">
                  <c:v>GoTyme</c:v>
                </c:pt>
              </c:strCache>
            </c:strRef>
          </c:tx>
          <c:spPr>
            <a:ln w="22225" cap="rnd">
              <a:solidFill>
                <a:srgbClr val="C00000"/>
              </a:solidFill>
              <a:round/>
            </a:ln>
          </c:spPr>
          <c:marker>
            <c:symbol val="none"/>
          </c:marker>
          <c:cat>
            <c:strRef>
              <c:f>Dashboard!$A$80:$A$103</c:f>
              <c:strCache>
                <c:ptCount val="24"/>
                <c:pt idx="0">
                  <c:v>Jan 2026</c:v>
                </c:pt>
                <c:pt idx="1">
                  <c:v>Feb 2026</c:v>
                </c:pt>
                <c:pt idx="2">
                  <c:v>Mar 2026</c:v>
                </c:pt>
                <c:pt idx="3">
                  <c:v>Apr 2026</c:v>
                </c:pt>
                <c:pt idx="4">
                  <c:v>May 2026</c:v>
                </c:pt>
                <c:pt idx="5">
                  <c:v>Jun 2026</c:v>
                </c:pt>
                <c:pt idx="6">
                  <c:v>Jul 2026</c:v>
                </c:pt>
                <c:pt idx="7">
                  <c:v>Aug 2026</c:v>
                </c:pt>
                <c:pt idx="8">
                  <c:v>Sep 2026</c:v>
                </c:pt>
                <c:pt idx="9">
                  <c:v>Oct 2026</c:v>
                </c:pt>
                <c:pt idx="10">
                  <c:v>Nov 2026</c:v>
                </c:pt>
                <c:pt idx="11">
                  <c:v>Dec 2026</c:v>
                </c:pt>
                <c:pt idx="12">
                  <c:v>Jan 2027</c:v>
                </c:pt>
                <c:pt idx="13">
                  <c:v>Feb 2027</c:v>
                </c:pt>
                <c:pt idx="14">
                  <c:v>Mar 2027</c:v>
                </c:pt>
                <c:pt idx="15">
                  <c:v>Apr 2027</c:v>
                </c:pt>
                <c:pt idx="16">
                  <c:v>May 2027</c:v>
                </c:pt>
                <c:pt idx="17">
                  <c:v>Jun 2027</c:v>
                </c:pt>
                <c:pt idx="18">
                  <c:v>Jul 2027</c:v>
                </c:pt>
                <c:pt idx="19">
                  <c:v>Aug 2027</c:v>
                </c:pt>
                <c:pt idx="20">
                  <c:v>Sep 2027</c:v>
                </c:pt>
                <c:pt idx="21">
                  <c:v>Oct 2027</c:v>
                </c:pt>
                <c:pt idx="22">
                  <c:v>Nov 2027</c:v>
                </c:pt>
                <c:pt idx="23">
                  <c:v>Dec 2027</c:v>
                </c:pt>
              </c:strCache>
            </c:strRef>
          </c:cat>
          <c:val>
            <c:numRef>
              <c:f>Dashboard!$G$80:$G$103</c:f>
              <c:numCache>
                <c:formatCode>General</c:formatCode>
                <c:ptCount val="24"/>
                <c:pt idx="0">
                  <c:v>12000.0</c:v>
                </c:pt>
                <c:pt idx="1">
                  <c:v>12030.0</c:v>
                </c:pt>
                <c:pt idx="2">
                  <c:v>12060.075</c:v>
                </c:pt>
                <c:pt idx="3">
                  <c:v>12090.2252</c:v>
                </c:pt>
                <c:pt idx="4">
                  <c:v>12120.4508</c:v>
                </c:pt>
                <c:pt idx="5">
                  <c:v>12150.7519</c:v>
                </c:pt>
                <c:pt idx="6">
                  <c:v>12181.1288</c:v>
                </c:pt>
                <c:pt idx="7">
                  <c:v>12211.5816</c:v>
                </c:pt>
                <c:pt idx="8">
                  <c:v>12242.1105</c:v>
                </c:pt>
                <c:pt idx="9">
                  <c:v>12272.7158</c:v>
                </c:pt>
                <c:pt idx="10">
                  <c:v>12303.3976</c:v>
                </c:pt>
                <c:pt idx="11">
                  <c:v>12334.1561</c:v>
                </c:pt>
                <c:pt idx="12">
                  <c:v>12364.9915</c:v>
                </c:pt>
                <c:pt idx="13">
                  <c:v>12395.904</c:v>
                </c:pt>
                <c:pt idx="14">
                  <c:v>12426.8937</c:v>
                </c:pt>
                <c:pt idx="15">
                  <c:v>12457.961</c:v>
                </c:pt>
                <c:pt idx="16">
                  <c:v>12489.1059</c:v>
                </c:pt>
                <c:pt idx="17">
                  <c:v>12520.3286</c:v>
                </c:pt>
                <c:pt idx="18">
                  <c:v>12551.6294</c:v>
                </c:pt>
                <c:pt idx="19">
                  <c:v>12583.0085</c:v>
                </c:pt>
                <c:pt idx="20">
                  <c:v>12614.466</c:v>
                </c:pt>
                <c:pt idx="21">
                  <c:v>12646.0022</c:v>
                </c:pt>
                <c:pt idx="22">
                  <c:v>12677.6172</c:v>
                </c:pt>
                <c:pt idx="23">
                  <c:v>12709.3113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Dashboard!$H$79</c:f>
              <c:strCache>
                <c:ptCount val="1"/>
                <c:pt idx="0">
                  <c:v>Maribank</c:v>
                </c:pt>
              </c:strCache>
            </c:strRef>
          </c:tx>
          <c:spPr>
            <a:ln w="22225" cap="rnd">
              <a:solidFill>
                <a:srgbClr val="595959"/>
              </a:solidFill>
              <a:round/>
            </a:ln>
          </c:spPr>
          <c:marker>
            <c:symbol val="none"/>
          </c:marker>
          <c:cat>
            <c:strRef>
              <c:f>Dashboard!$A$80:$A$103</c:f>
              <c:strCache>
                <c:ptCount val="24"/>
                <c:pt idx="0">
                  <c:v>Jan 2026</c:v>
                </c:pt>
                <c:pt idx="1">
                  <c:v>Feb 2026</c:v>
                </c:pt>
                <c:pt idx="2">
                  <c:v>Mar 2026</c:v>
                </c:pt>
                <c:pt idx="3">
                  <c:v>Apr 2026</c:v>
                </c:pt>
                <c:pt idx="4">
                  <c:v>May 2026</c:v>
                </c:pt>
                <c:pt idx="5">
                  <c:v>Jun 2026</c:v>
                </c:pt>
                <c:pt idx="6">
                  <c:v>Jul 2026</c:v>
                </c:pt>
                <c:pt idx="7">
                  <c:v>Aug 2026</c:v>
                </c:pt>
                <c:pt idx="8">
                  <c:v>Sep 2026</c:v>
                </c:pt>
                <c:pt idx="9">
                  <c:v>Oct 2026</c:v>
                </c:pt>
                <c:pt idx="10">
                  <c:v>Nov 2026</c:v>
                </c:pt>
                <c:pt idx="11">
                  <c:v>Dec 2026</c:v>
                </c:pt>
                <c:pt idx="12">
                  <c:v>Jan 2027</c:v>
                </c:pt>
                <c:pt idx="13">
                  <c:v>Feb 2027</c:v>
                </c:pt>
                <c:pt idx="14">
                  <c:v>Mar 2027</c:v>
                </c:pt>
                <c:pt idx="15">
                  <c:v>Apr 2027</c:v>
                </c:pt>
                <c:pt idx="16">
                  <c:v>May 2027</c:v>
                </c:pt>
                <c:pt idx="17">
                  <c:v>Jun 2027</c:v>
                </c:pt>
                <c:pt idx="18">
                  <c:v>Jul 2027</c:v>
                </c:pt>
                <c:pt idx="19">
                  <c:v>Aug 2027</c:v>
                </c:pt>
                <c:pt idx="20">
                  <c:v>Sep 2027</c:v>
                </c:pt>
                <c:pt idx="21">
                  <c:v>Oct 2027</c:v>
                </c:pt>
                <c:pt idx="22">
                  <c:v>Nov 2027</c:v>
                </c:pt>
                <c:pt idx="23">
                  <c:v>Dec 2027</c:v>
                </c:pt>
              </c:strCache>
            </c:strRef>
          </c:cat>
          <c:val>
            <c:numRef>
              <c:f>Dashboard!$H$80:$H$103</c:f>
              <c:numCache>
                <c:formatCode>General</c:formatCode>
                <c:ptCount val="24"/>
                <c:pt idx="0">
                  <c:v>8000.0</c:v>
                </c:pt>
                <c:pt idx="1">
                  <c:v>8021.6951</c:v>
                </c:pt>
                <c:pt idx="2">
                  <c:v>8043.449</c:v>
                </c:pt>
                <c:pt idx="3">
                  <c:v>8065.2619</c:v>
                </c:pt>
                <c:pt idx="4">
                  <c:v>8087.1339</c:v>
                </c:pt>
                <c:pt idx="5">
                  <c:v>8109.0653</c:v>
                </c:pt>
                <c:pt idx="6">
                  <c:v>8131.0561</c:v>
                </c:pt>
                <c:pt idx="7">
                  <c:v>8153.1066</c:v>
                </c:pt>
                <c:pt idx="8">
                  <c:v>8175.2169</c:v>
                </c:pt>
                <c:pt idx="9">
                  <c:v>8197.3871</c:v>
                </c:pt>
                <c:pt idx="10">
                  <c:v>8219.6175</c:v>
                </c:pt>
                <c:pt idx="11">
                  <c:v>8241.9081</c:v>
                </c:pt>
                <c:pt idx="12">
                  <c:v>8264.2592</c:v>
                </c:pt>
                <c:pt idx="13">
                  <c:v>8286.6709</c:v>
                </c:pt>
                <c:pt idx="14">
                  <c:v>8309.1434</c:v>
                </c:pt>
                <c:pt idx="15">
                  <c:v>8331.6768</c:v>
                </c:pt>
                <c:pt idx="16">
                  <c:v>8354.2713</c:v>
                </c:pt>
                <c:pt idx="17">
                  <c:v>8376.9271</c:v>
                </c:pt>
                <c:pt idx="18">
                  <c:v>8399.6444</c:v>
                </c:pt>
                <c:pt idx="19">
                  <c:v>8422.4233</c:v>
                </c:pt>
                <c:pt idx="20">
                  <c:v>8445.2639</c:v>
                </c:pt>
                <c:pt idx="21">
                  <c:v>8468.1665</c:v>
                </c:pt>
                <c:pt idx="22">
                  <c:v>8491.1311</c:v>
                </c:pt>
                <c:pt idx="23">
                  <c:v>8514.1581</c:v>
                </c:pt>
              </c:numCache>
            </c:numRef>
          </c:val>
          <c:smooth val="0"/>
        </c:ser>
        <c:marker val="1"/>
        <c:axId val="111"/>
        <c:axId val="222"/>
      </c:lineChart>
      <c:catAx>
        <c:axId val="1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1">
                    <a:solidFill>
                      <a:srgbClr val="595959"/>
                    </a:solidFill>
                  </a:defRPr>
                </a:pPr>
                <a:r>
                  <a:rPr lang="en-US" sz="900" b="1">
                    <a:solidFill>
                      <a:srgbClr val="595959"/>
                    </a:solidFill>
                  </a:rPr>
                  <a:t>Month</a:t>
                </a:r>
              </a:p>
            </c:rich>
          </c:tx>
          <c:overlay val="0"/>
        </c:title>
        <c:txPr>
          <a:bodyPr rot="-2700000" spcFirstLastPara="1" vertOverflow="ellipsis" vert="horz" wrap="square" anchor="ctr" anchorCtr="1"/>
          <a:lstStyle/>
          <a:p>
            <a:pPr>
              <a:defRPr sz="800"/>
            </a:pPr>
            <a:endParaRPr lang="en-US"/>
          </a:p>
        </c:txPr>
        <c:crossAx val="222"/>
        <c:lblOffset val="100"/>
        <c:tickLblSkip val="1"/>
        <c:tickMarkSkip val="1"/>
        <c:noMultiLvlLbl val="0"/>
      </c:catAx>
      <c:valAx>
        <c:axId val="222"/>
        <c:scaling>
          <c:orientation val="minMax"/>
        </c:scaling>
        <c:delete val="0"/>
        <c:axPos val="l"/>
        <c:majorGridlines>
          <c:spPr>
            <a:ln w="9525">
              <a:solidFill>
                <a:srgbClr val="E7E7E7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="1">
                    <a:solidFill>
                      <a:srgbClr val="595959"/>
                    </a:solidFill>
                  </a:defRPr>
                </a:pPr>
                <a:r>
                  <a:rPr lang="en-US" sz="900" b="1">
                    <a:solidFill>
                      <a:srgbClr val="595959"/>
                    </a:solidFill>
                  </a:rPr>
                  <a:t>Cumulative Balance</a:t>
                </a:r>
              </a:p>
            </c:rich>
          </c:tx>
          <c:overlay val="0"/>
        </c:title>
        <c:numFmt formatCode="[$₱-3409]#,##0" sourceLinked="0"/>
        <c:crossAx val="111"/>
      </c:valAx>
    </c:plotArea>
    <c:legend>
      <c:legendPos val="b"/>
      <c:overlay val="0"/>
    </c:legend>
    <c:plotVisOnly val="1"/>
    <c:dispBlanksAs val="gap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200" b="1">
                <a:solidFill>
                  <a:srgbClr val="1F3864"/>
                </a:solidFill>
              </a:defRPr>
            </a:pPr>
            <a:r>
              <a:rPr lang="en-US" sz="1200" b="1">
                <a:solidFill>
                  <a:srgbClr val="1F3864"/>
                </a:solidFill>
              </a:rPr>
              <a:t>🥧 Savings by Bank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Dashboard!$B$16</c:f>
              <c:strCache>
                <c:ptCount val="1"/>
                <c:pt idx="0">
                  <c:v>Balance</c:v>
                </c:pt>
              </c:strCache>
            </c:strRef>
          </c:tx>
          <c:cat>
            <c:strRef>
              <c:f>Dashboard!$A$17:$A$23</c:f>
              <c:strCache>
                <c:ptCount val="7"/>
                <c:pt idx="0">
                  <c:v>Maya</c:v>
                </c:pt>
                <c:pt idx="1">
                  <c:v>UNO</c:v>
                </c:pt>
                <c:pt idx="2">
                  <c:v>Tonik</c:v>
                </c:pt>
                <c:pt idx="3">
                  <c:v>Banko</c:v>
                </c:pt>
                <c:pt idx="4">
                  <c:v>CIMB</c:v>
                </c:pt>
                <c:pt idx="5">
                  <c:v>GoTyme</c:v>
                </c:pt>
                <c:pt idx="6">
                  <c:v>Maribank</c:v>
                </c:pt>
              </c:strCache>
            </c:strRef>
          </c:cat>
          <c:val>
            <c:numRef>
              <c:f>Dashboard!$B$17:$B$23</c:f>
              <c:numCache>
                <c:formatCode>General</c:formatCode>
                <c:ptCount val="7"/>
                <c:pt idx="0">
                  <c:v>274565.82</c:v>
                </c:pt>
                <c:pt idx="1">
                  <c:v>125581.64</c:v>
                </c:pt>
                <c:pt idx="2">
                  <c:v>50266.67</c:v>
                </c:pt>
                <c:pt idx="3">
                  <c:v>15070.02</c:v>
                </c:pt>
                <c:pt idx="4">
                  <c:v>10021.45</c:v>
                </c:pt>
                <c:pt idx="5">
                  <c:v>12030.0</c:v>
                </c:pt>
                <c:pt idx="6">
                  <c:v>8024.25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  <c:firstSliceAng val="0"/>
      </c:pieChart>
    </c:plotArea>
    <c:legend>
      <c:legendPos val="r"/>
      <c:overlay val="0"/>
    </c:legend>
    <c:plotVisOnly val="1"/>
    <c:dispBlanksAs val="gap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pPr>
              <a:defRPr sz="1200" b="1">
                <a:solidFill>
                  <a:srgbClr val="1F3864"/>
                </a:solidFill>
              </a:defRPr>
            </a:pPr>
            <a:r>
              <a:rPr lang="en-US" sz="1200" b="1">
                <a:solidFill>
                  <a:srgbClr val="1F3864"/>
                </a:solidFill>
              </a:rPr>
              <a:t>Monthly Interest Earned by Bank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Dashboard!$B$106</c:f>
              <c:strCache>
                <c:ptCount val="1"/>
                <c:pt idx="0">
                  <c:v>Maya</c:v>
                </c:pt>
              </c:strCache>
            </c:strRef>
          </c:tx>
          <c:spPr>
            <a:solidFill>
              <a:srgbClr val="4472C4"/>
            </a:solidFill>
            <a:ln w="3175">
              <a:solidFill>
                <a:srgbClr val="FFFFFF"/>
              </a:solidFill>
            </a:ln>
          </c:spPr>
          <c:cat>
            <c:strRef>
              <c:f>Dashboard!$A$107:$A$130</c:f>
              <c:strCache>
                <c:ptCount val="24"/>
                <c:pt idx="0">
                  <c:v>Jan 2026</c:v>
                </c:pt>
                <c:pt idx="1">
                  <c:v>Feb 2026</c:v>
                </c:pt>
                <c:pt idx="2">
                  <c:v>Mar 2026</c:v>
                </c:pt>
                <c:pt idx="3">
                  <c:v>Apr 2026</c:v>
                </c:pt>
                <c:pt idx="4">
                  <c:v>May 2026</c:v>
                </c:pt>
                <c:pt idx="5">
                  <c:v>Jun 2026</c:v>
                </c:pt>
                <c:pt idx="6">
                  <c:v>Jul 2026</c:v>
                </c:pt>
                <c:pt idx="7">
                  <c:v>Aug 2026</c:v>
                </c:pt>
                <c:pt idx="8">
                  <c:v>Sep 2026</c:v>
                </c:pt>
                <c:pt idx="9">
                  <c:v>Oct 2026</c:v>
                </c:pt>
                <c:pt idx="10">
                  <c:v>Nov 2026</c:v>
                </c:pt>
                <c:pt idx="11">
                  <c:v>Dec 2026</c:v>
                </c:pt>
                <c:pt idx="12">
                  <c:v>Jan 2027</c:v>
                </c:pt>
                <c:pt idx="13">
                  <c:v>Feb 2027</c:v>
                </c:pt>
                <c:pt idx="14">
                  <c:v>Mar 2027</c:v>
                </c:pt>
                <c:pt idx="15">
                  <c:v>Apr 2027</c:v>
                </c:pt>
                <c:pt idx="16">
                  <c:v>May 2027</c:v>
                </c:pt>
                <c:pt idx="17">
                  <c:v>Jun 2027</c:v>
                </c:pt>
                <c:pt idx="18">
                  <c:v>Jul 2027</c:v>
                </c:pt>
                <c:pt idx="19">
                  <c:v>Aug 2027</c:v>
                </c:pt>
                <c:pt idx="20">
                  <c:v>Sep 2027</c:v>
                </c:pt>
                <c:pt idx="21">
                  <c:v>Oct 2027</c:v>
                </c:pt>
                <c:pt idx="22">
                  <c:v>Nov 2027</c:v>
                </c:pt>
                <c:pt idx="23">
                  <c:v>Dec 2027</c:v>
                </c:pt>
              </c:strCache>
            </c:strRef>
          </c:cat>
          <c:val>
            <c:numRef>
              <c:f>Dashboard!$B$107:$B$130</c:f>
              <c:numCache>
                <c:formatCode>General</c:formatCode>
                <c:ptCount val="24"/>
                <c:pt idx="0">
                  <c:v>0.0</c:v>
                </c:pt>
                <c:pt idx="1">
                  <c:v>1518.2827</c:v>
                </c:pt>
                <c:pt idx="2">
                  <c:v>1527.1875</c:v>
                </c:pt>
                <c:pt idx="3">
                  <c:v>1536.1479</c:v>
                </c:pt>
                <c:pt idx="4">
                  <c:v>1545.1644</c:v>
                </c:pt>
                <c:pt idx="5">
                  <c:v>1554.2372</c:v>
                </c:pt>
                <c:pt idx="6">
                  <c:v>1563.3669</c:v>
                </c:pt>
                <c:pt idx="7">
                  <c:v>1572.5537</c:v>
                </c:pt>
                <c:pt idx="8">
                  <c:v>1581.798</c:v>
                </c:pt>
                <c:pt idx="9">
                  <c:v>1591.1003</c:v>
                </c:pt>
                <c:pt idx="10">
                  <c:v>1600.4609</c:v>
                </c:pt>
                <c:pt idx="11">
                  <c:v>1609.8802</c:v>
                </c:pt>
                <c:pt idx="12">
                  <c:v>1619.3586</c:v>
                </c:pt>
                <c:pt idx="13">
                  <c:v>1628.8965</c:v>
                </c:pt>
                <c:pt idx="14">
                  <c:v>1638.4942</c:v>
                </c:pt>
                <c:pt idx="15">
                  <c:v>1648.1523</c:v>
                </c:pt>
                <c:pt idx="16">
                  <c:v>1657.8711</c:v>
                </c:pt>
                <c:pt idx="17">
                  <c:v>1667.6511</c:v>
                </c:pt>
                <c:pt idx="18">
                  <c:v>1677.4925</c:v>
                </c:pt>
                <c:pt idx="19">
                  <c:v>1687.3959</c:v>
                </c:pt>
                <c:pt idx="20">
                  <c:v>1697.3616</c:v>
                </c:pt>
                <c:pt idx="21">
                  <c:v>1707.3902</c:v>
                </c:pt>
                <c:pt idx="22">
                  <c:v>1717.4819</c:v>
                </c:pt>
                <c:pt idx="23">
                  <c:v>1727.6372</c:v>
                </c:pt>
              </c:numCache>
            </c:numRef>
          </c:val>
        </c:ser>
        <c:ser>
          <c:idx val="1"/>
          <c:order val="1"/>
          <c:tx>
            <c:strRef>
              <c:f>Dashboard!$C$106</c:f>
              <c:strCache>
                <c:ptCount val="1"/>
                <c:pt idx="0">
                  <c:v>UNO</c:v>
                </c:pt>
              </c:strCache>
            </c:strRef>
          </c:tx>
          <c:spPr>
            <a:solidFill>
              <a:srgbClr val="ED7D31"/>
            </a:solidFill>
            <a:ln w="3175">
              <a:solidFill>
                <a:srgbClr val="FFFFFF"/>
              </a:solidFill>
            </a:ln>
          </c:spPr>
          <c:cat>
            <c:strRef>
              <c:f>Dashboard!$A$107:$A$130</c:f>
              <c:strCache>
                <c:ptCount val="24"/>
                <c:pt idx="0">
                  <c:v>Jan 2026</c:v>
                </c:pt>
                <c:pt idx="1">
                  <c:v>Feb 2026</c:v>
                </c:pt>
                <c:pt idx="2">
                  <c:v>Mar 2026</c:v>
                </c:pt>
                <c:pt idx="3">
                  <c:v>Apr 2026</c:v>
                </c:pt>
                <c:pt idx="4">
                  <c:v>May 2026</c:v>
                </c:pt>
                <c:pt idx="5">
                  <c:v>Jun 2026</c:v>
                </c:pt>
                <c:pt idx="6">
                  <c:v>Jul 2026</c:v>
                </c:pt>
                <c:pt idx="7">
                  <c:v>Aug 2026</c:v>
                </c:pt>
                <c:pt idx="8">
                  <c:v>Sep 2026</c:v>
                </c:pt>
                <c:pt idx="9">
                  <c:v>Oct 2026</c:v>
                </c:pt>
                <c:pt idx="10">
                  <c:v>Nov 2026</c:v>
                </c:pt>
                <c:pt idx="11">
                  <c:v>Dec 2026</c:v>
                </c:pt>
                <c:pt idx="12">
                  <c:v>Jan 2027</c:v>
                </c:pt>
                <c:pt idx="13">
                  <c:v>Feb 2027</c:v>
                </c:pt>
                <c:pt idx="14">
                  <c:v>Mar 2027</c:v>
                </c:pt>
                <c:pt idx="15">
                  <c:v>Apr 2027</c:v>
                </c:pt>
                <c:pt idx="16">
                  <c:v>May 2027</c:v>
                </c:pt>
                <c:pt idx="17">
                  <c:v>Jun 2027</c:v>
                </c:pt>
                <c:pt idx="18">
                  <c:v>Jul 2027</c:v>
                </c:pt>
                <c:pt idx="19">
                  <c:v>Aug 2027</c:v>
                </c:pt>
                <c:pt idx="20">
                  <c:v>Sep 2027</c:v>
                </c:pt>
                <c:pt idx="21">
                  <c:v>Oct 2027</c:v>
                </c:pt>
                <c:pt idx="22">
                  <c:v>Nov 2027</c:v>
                </c:pt>
                <c:pt idx="23">
                  <c:v>Dec 2027</c:v>
                </c:pt>
              </c:strCache>
            </c:strRef>
          </c:cat>
          <c:val>
            <c:numRef>
              <c:f>Dashboard!$C$107:$C$130</c:f>
              <c:numCache>
                <c:formatCode>General</c:formatCode>
                <c:ptCount val="24"/>
                <c:pt idx="0">
                  <c:v>0.0</c:v>
                </c:pt>
                <c:pt idx="1">
                  <c:v>573.0196</c:v>
                </c:pt>
                <c:pt idx="2">
                  <c:v>575.7329</c:v>
                </c:pt>
                <c:pt idx="3">
                  <c:v>578.4593</c:v>
                </c:pt>
                <c:pt idx="4">
                  <c:v>581.1989</c:v>
                </c:pt>
                <c:pt idx="5">
                  <c:v>583.9517</c:v>
                </c:pt>
                <c:pt idx="6">
                  <c:v>586.7178</c:v>
                </c:pt>
                <c:pt idx="7">
                  <c:v>589.4974</c:v>
                </c:pt>
                <c:pt idx="8">
                  <c:v>592.2904</c:v>
                </c:pt>
                <c:pt idx="9">
                  <c:v>595.0969</c:v>
                </c:pt>
                <c:pt idx="10">
                  <c:v>597.9169</c:v>
                </c:pt>
                <c:pt idx="11">
                  <c:v>600.7507</c:v>
                </c:pt>
                <c:pt idx="12">
                  <c:v>603.5981</c:v>
                </c:pt>
                <c:pt idx="13">
                  <c:v>606.4593</c:v>
                </c:pt>
                <c:pt idx="14">
                  <c:v>609.3344</c:v>
                </c:pt>
                <c:pt idx="15">
                  <c:v>612.2234</c:v>
                </c:pt>
                <c:pt idx="16">
                  <c:v>615.1263</c:v>
                </c:pt>
                <c:pt idx="17">
                  <c:v>618.0433</c:v>
                </c:pt>
                <c:pt idx="18">
                  <c:v>620.9745</c:v>
                </c:pt>
                <c:pt idx="19">
                  <c:v>623.9198</c:v>
                </c:pt>
                <c:pt idx="20">
                  <c:v>626.8794</c:v>
                </c:pt>
                <c:pt idx="21">
                  <c:v>629.8533</c:v>
                </c:pt>
                <c:pt idx="22">
                  <c:v>632.8417</c:v>
                </c:pt>
                <c:pt idx="23">
                  <c:v>635.8445</c:v>
                </c:pt>
              </c:numCache>
            </c:numRef>
          </c:val>
        </c:ser>
        <c:ser>
          <c:idx val="2"/>
          <c:order val="2"/>
          <c:tx>
            <c:strRef>
              <c:f>Dashboard!$D$106</c:f>
              <c:strCache>
                <c:ptCount val="1"/>
                <c:pt idx="0">
                  <c:v>Tonik</c:v>
                </c:pt>
              </c:strCache>
            </c:strRef>
          </c:tx>
          <c:spPr>
            <a:solidFill>
              <a:srgbClr val="70AD47"/>
            </a:solidFill>
            <a:ln w="3175">
              <a:solidFill>
                <a:srgbClr val="FFFFFF"/>
              </a:solidFill>
            </a:ln>
          </c:spPr>
          <c:cat>
            <c:strRef>
              <c:f>Dashboard!$A$107:$A$130</c:f>
              <c:strCache>
                <c:ptCount val="24"/>
                <c:pt idx="0">
                  <c:v>Jan 2026</c:v>
                </c:pt>
                <c:pt idx="1">
                  <c:v>Feb 2026</c:v>
                </c:pt>
                <c:pt idx="2">
                  <c:v>Mar 2026</c:v>
                </c:pt>
                <c:pt idx="3">
                  <c:v>Apr 2026</c:v>
                </c:pt>
                <c:pt idx="4">
                  <c:v>May 2026</c:v>
                </c:pt>
                <c:pt idx="5">
                  <c:v>Jun 2026</c:v>
                </c:pt>
                <c:pt idx="6">
                  <c:v>Jul 2026</c:v>
                </c:pt>
                <c:pt idx="7">
                  <c:v>Aug 2026</c:v>
                </c:pt>
                <c:pt idx="8">
                  <c:v>Sep 2026</c:v>
                </c:pt>
                <c:pt idx="9">
                  <c:v>Oct 2026</c:v>
                </c:pt>
                <c:pt idx="10">
                  <c:v>Nov 2026</c:v>
                </c:pt>
                <c:pt idx="11">
                  <c:v>Dec 2026</c:v>
                </c:pt>
                <c:pt idx="12">
                  <c:v>Jan 2027</c:v>
                </c:pt>
                <c:pt idx="13">
                  <c:v>Feb 2027</c:v>
                </c:pt>
                <c:pt idx="14">
                  <c:v>Mar 2027</c:v>
                </c:pt>
                <c:pt idx="15">
                  <c:v>Apr 2027</c:v>
                </c:pt>
                <c:pt idx="16">
                  <c:v>May 2027</c:v>
                </c:pt>
                <c:pt idx="17">
                  <c:v>Jun 2027</c:v>
                </c:pt>
                <c:pt idx="18">
                  <c:v>Jul 2027</c:v>
                </c:pt>
                <c:pt idx="19">
                  <c:v>Aug 2027</c:v>
                </c:pt>
                <c:pt idx="20">
                  <c:v>Sep 2027</c:v>
                </c:pt>
                <c:pt idx="21">
                  <c:v>Oct 2027</c:v>
                </c:pt>
                <c:pt idx="22">
                  <c:v>Nov 2027</c:v>
                </c:pt>
                <c:pt idx="23">
                  <c:v>Dec 2027</c:v>
                </c:pt>
              </c:strCache>
            </c:strRef>
          </c:cat>
          <c:val>
            <c:numRef>
              <c:f>Dashboard!$D$107:$D$130</c:f>
              <c:numCache>
                <c:formatCode>General</c:formatCode>
                <c:ptCount val="24"/>
                <c:pt idx="0">
                  <c:v>0.0</c:v>
                </c:pt>
                <c:pt idx="1">
                  <c:v>266.6667</c:v>
                </c:pt>
                <c:pt idx="2">
                  <c:v>268.2222</c:v>
                </c:pt>
                <c:pt idx="3">
                  <c:v>269.7874</c:v>
                </c:pt>
                <c:pt idx="4">
                  <c:v>271.3623</c:v>
                </c:pt>
                <c:pt idx="5">
                  <c:v>272.9469</c:v>
                </c:pt>
                <c:pt idx="6">
                  <c:v>274.5414</c:v>
                </c:pt>
                <c:pt idx="7">
                  <c:v>276.1457</c:v>
                </c:pt>
                <c:pt idx="8">
                  <c:v>277.76</c:v>
                </c:pt>
                <c:pt idx="9">
                  <c:v>279.3842</c:v>
                </c:pt>
                <c:pt idx="10">
                  <c:v>281.0186</c:v>
                </c:pt>
                <c:pt idx="11">
                  <c:v>282.663</c:v>
                </c:pt>
                <c:pt idx="12">
                  <c:v>284.3177</c:v>
                </c:pt>
                <c:pt idx="13">
                  <c:v>285.9827</c:v>
                </c:pt>
                <c:pt idx="14">
                  <c:v>287.6579</c:v>
                </c:pt>
                <c:pt idx="15">
                  <c:v>289.3436</c:v>
                </c:pt>
                <c:pt idx="16">
                  <c:v>291.0398</c:v>
                </c:pt>
                <c:pt idx="17">
                  <c:v>292.7464</c:v>
                </c:pt>
                <c:pt idx="18">
                  <c:v>294.4637</c:v>
                </c:pt>
                <c:pt idx="19">
                  <c:v>296.1916</c:v>
                </c:pt>
                <c:pt idx="20">
                  <c:v>297.9303</c:v>
                </c:pt>
                <c:pt idx="21">
                  <c:v>299.6798</c:v>
                </c:pt>
                <c:pt idx="22">
                  <c:v>301.4401</c:v>
                </c:pt>
                <c:pt idx="23">
                  <c:v>303.2114</c:v>
                </c:pt>
              </c:numCache>
            </c:numRef>
          </c:val>
        </c:ser>
        <c:ser>
          <c:idx val="3"/>
          <c:order val="3"/>
          <c:tx>
            <c:strRef>
              <c:f>Dashboard!$E$106</c:f>
              <c:strCache>
                <c:ptCount val="1"/>
                <c:pt idx="0">
                  <c:v>Banko</c:v>
                </c:pt>
              </c:strCache>
            </c:strRef>
          </c:tx>
          <c:spPr>
            <a:solidFill>
              <a:srgbClr val="FFC000"/>
            </a:solidFill>
            <a:ln w="3175">
              <a:solidFill>
                <a:srgbClr val="FFFFFF"/>
              </a:solidFill>
            </a:ln>
          </c:spPr>
          <c:cat>
            <c:strRef>
              <c:f>Dashboard!$A$107:$A$130</c:f>
              <c:strCache>
                <c:ptCount val="24"/>
                <c:pt idx="0">
                  <c:v>Jan 2026</c:v>
                </c:pt>
                <c:pt idx="1">
                  <c:v>Feb 2026</c:v>
                </c:pt>
                <c:pt idx="2">
                  <c:v>Mar 2026</c:v>
                </c:pt>
                <c:pt idx="3">
                  <c:v>Apr 2026</c:v>
                </c:pt>
                <c:pt idx="4">
                  <c:v>May 2026</c:v>
                </c:pt>
                <c:pt idx="5">
                  <c:v>Jun 2026</c:v>
                </c:pt>
                <c:pt idx="6">
                  <c:v>Jul 2026</c:v>
                </c:pt>
                <c:pt idx="7">
                  <c:v>Aug 2026</c:v>
                </c:pt>
                <c:pt idx="8">
                  <c:v>Sep 2026</c:v>
                </c:pt>
                <c:pt idx="9">
                  <c:v>Oct 2026</c:v>
                </c:pt>
                <c:pt idx="10">
                  <c:v>Nov 2026</c:v>
                </c:pt>
                <c:pt idx="11">
                  <c:v>Dec 2026</c:v>
                </c:pt>
                <c:pt idx="12">
                  <c:v>Jan 2027</c:v>
                </c:pt>
                <c:pt idx="13">
                  <c:v>Feb 2027</c:v>
                </c:pt>
                <c:pt idx="14">
                  <c:v>Mar 2027</c:v>
                </c:pt>
                <c:pt idx="15">
                  <c:v>Apr 2027</c:v>
                </c:pt>
                <c:pt idx="16">
                  <c:v>May 2027</c:v>
                </c:pt>
                <c:pt idx="17">
                  <c:v>Jun 2027</c:v>
                </c:pt>
                <c:pt idx="18">
                  <c:v>Jul 2027</c:v>
                </c:pt>
                <c:pt idx="19">
                  <c:v>Aug 2027</c:v>
                </c:pt>
                <c:pt idx="20">
                  <c:v>Sep 2027</c:v>
                </c:pt>
                <c:pt idx="21">
                  <c:v>Oct 2027</c:v>
                </c:pt>
                <c:pt idx="22">
                  <c:v>Nov 2027</c:v>
                </c:pt>
                <c:pt idx="23">
                  <c:v>Dec 2027</c:v>
                </c:pt>
              </c:strCache>
            </c:strRef>
          </c:cat>
          <c:val>
            <c:numRef>
              <c:f>Dashboard!$E$107:$E$130</c:f>
              <c:numCache>
                <c:formatCode>General</c:formatCode>
                <c:ptCount val="24"/>
                <c:pt idx="0">
                  <c:v>0.0</c:v>
                </c:pt>
                <c:pt idx="1">
                  <c:v>62.6261</c:v>
                </c:pt>
                <c:pt idx="2">
                  <c:v>62.8876</c:v>
                </c:pt>
                <c:pt idx="3">
                  <c:v>63.1501</c:v>
                </c:pt>
                <c:pt idx="4">
                  <c:v>63.4138</c:v>
                </c:pt>
                <c:pt idx="5">
                  <c:v>63.6785</c:v>
                </c:pt>
                <c:pt idx="6">
                  <c:v>63.9444</c:v>
                </c:pt>
                <c:pt idx="7">
                  <c:v>64.2114</c:v>
                </c:pt>
                <c:pt idx="8">
                  <c:v>64.4795</c:v>
                </c:pt>
                <c:pt idx="9">
                  <c:v>64.7487</c:v>
                </c:pt>
                <c:pt idx="10">
                  <c:v>65.019</c:v>
                </c:pt>
                <c:pt idx="11">
                  <c:v>65.2905</c:v>
                </c:pt>
                <c:pt idx="12">
                  <c:v>65.563</c:v>
                </c:pt>
                <c:pt idx="13">
                  <c:v>65.8368</c:v>
                </c:pt>
                <c:pt idx="14">
                  <c:v>66.1116</c:v>
                </c:pt>
                <c:pt idx="15">
                  <c:v>66.3877</c:v>
                </c:pt>
                <c:pt idx="16">
                  <c:v>66.6648</c:v>
                </c:pt>
                <c:pt idx="17">
                  <c:v>66.9432</c:v>
                </c:pt>
                <c:pt idx="18">
                  <c:v>67.2227</c:v>
                </c:pt>
                <c:pt idx="19">
                  <c:v>67.5033</c:v>
                </c:pt>
                <c:pt idx="20">
                  <c:v>67.7852</c:v>
                </c:pt>
                <c:pt idx="21">
                  <c:v>68.0682</c:v>
                </c:pt>
                <c:pt idx="22">
                  <c:v>68.3524</c:v>
                </c:pt>
                <c:pt idx="23">
                  <c:v>68.6377</c:v>
                </c:pt>
              </c:numCache>
            </c:numRef>
          </c:val>
        </c:ser>
        <c:ser>
          <c:idx val="4"/>
          <c:order val="4"/>
          <c:tx>
            <c:strRef>
              <c:f>Dashboard!$F$106</c:f>
              <c:strCache>
                <c:ptCount val="1"/>
                <c:pt idx="0">
                  <c:v>CIMB</c:v>
                </c:pt>
              </c:strCache>
            </c:strRef>
          </c:tx>
          <c:spPr>
            <a:solidFill>
              <a:srgbClr val="7030A0"/>
            </a:solidFill>
            <a:ln w="3175">
              <a:solidFill>
                <a:srgbClr val="FFFFFF"/>
              </a:solidFill>
            </a:ln>
          </c:spPr>
          <c:cat>
            <c:strRef>
              <c:f>Dashboard!$A$107:$A$130</c:f>
              <c:strCache>
                <c:ptCount val="24"/>
                <c:pt idx="0">
                  <c:v>Jan 2026</c:v>
                </c:pt>
                <c:pt idx="1">
                  <c:v>Feb 2026</c:v>
                </c:pt>
                <c:pt idx="2">
                  <c:v>Mar 2026</c:v>
                </c:pt>
                <c:pt idx="3">
                  <c:v>Apr 2026</c:v>
                </c:pt>
                <c:pt idx="4">
                  <c:v>May 2026</c:v>
                </c:pt>
                <c:pt idx="5">
                  <c:v>Jun 2026</c:v>
                </c:pt>
                <c:pt idx="6">
                  <c:v>Jul 2026</c:v>
                </c:pt>
                <c:pt idx="7">
                  <c:v>Aug 2026</c:v>
                </c:pt>
                <c:pt idx="8">
                  <c:v>Sep 2026</c:v>
                </c:pt>
                <c:pt idx="9">
                  <c:v>Oct 2026</c:v>
                </c:pt>
                <c:pt idx="10">
                  <c:v>Nov 2026</c:v>
                </c:pt>
                <c:pt idx="11">
                  <c:v>Dec 2026</c:v>
                </c:pt>
                <c:pt idx="12">
                  <c:v>Jan 2027</c:v>
                </c:pt>
                <c:pt idx="13">
                  <c:v>Feb 2027</c:v>
                </c:pt>
                <c:pt idx="14">
                  <c:v>Mar 2027</c:v>
                </c:pt>
                <c:pt idx="15">
                  <c:v>Apr 2027</c:v>
                </c:pt>
                <c:pt idx="16">
                  <c:v>May 2027</c:v>
                </c:pt>
                <c:pt idx="17">
                  <c:v>Jun 2027</c:v>
                </c:pt>
                <c:pt idx="18">
                  <c:v>Jul 2027</c:v>
                </c:pt>
                <c:pt idx="19">
                  <c:v>Aug 2027</c:v>
                </c:pt>
                <c:pt idx="20">
                  <c:v>Sep 2027</c:v>
                </c:pt>
                <c:pt idx="21">
                  <c:v>Oct 2027</c:v>
                </c:pt>
                <c:pt idx="22">
                  <c:v>Nov 2027</c:v>
                </c:pt>
                <c:pt idx="23">
                  <c:v>Dec 2027</c:v>
                </c:pt>
              </c:strCache>
            </c:strRef>
          </c:cat>
          <c:val>
            <c:numRef>
              <c:f>Dashboard!$F$107:$F$130</c:f>
              <c:numCache>
                <c:formatCode>General</c:formatCode>
                <c:ptCount val="24"/>
                <c:pt idx="0">
                  <c:v>0.0</c:v>
                </c:pt>
                <c:pt idx="1">
                  <c:v>19.1844</c:v>
                </c:pt>
                <c:pt idx="2">
                  <c:v>19.2212</c:v>
                </c:pt>
                <c:pt idx="3">
                  <c:v>19.2581</c:v>
                </c:pt>
                <c:pt idx="4">
                  <c:v>19.2951</c:v>
                </c:pt>
                <c:pt idx="5">
                  <c:v>19.3321</c:v>
                </c:pt>
                <c:pt idx="6">
                  <c:v>19.3692</c:v>
                </c:pt>
                <c:pt idx="7">
                  <c:v>19.4063</c:v>
                </c:pt>
                <c:pt idx="8">
                  <c:v>19.4436</c:v>
                </c:pt>
                <c:pt idx="9">
                  <c:v>19.4809</c:v>
                </c:pt>
                <c:pt idx="10">
                  <c:v>19.5182</c:v>
                </c:pt>
                <c:pt idx="11">
                  <c:v>19.5557</c:v>
                </c:pt>
                <c:pt idx="12">
                  <c:v>19.5932</c:v>
                </c:pt>
                <c:pt idx="13">
                  <c:v>19.6308</c:v>
                </c:pt>
                <c:pt idx="14">
                  <c:v>19.6684</c:v>
                </c:pt>
                <c:pt idx="15">
                  <c:v>19.7062</c:v>
                </c:pt>
                <c:pt idx="16">
                  <c:v>19.744</c:v>
                </c:pt>
                <c:pt idx="17">
                  <c:v>19.7819</c:v>
                </c:pt>
                <c:pt idx="18">
                  <c:v>19.8198</c:v>
                </c:pt>
                <c:pt idx="19">
                  <c:v>19.8578</c:v>
                </c:pt>
                <c:pt idx="20">
                  <c:v>19.8959</c:v>
                </c:pt>
                <c:pt idx="21">
                  <c:v>19.9341</c:v>
                </c:pt>
                <c:pt idx="22">
                  <c:v>19.9723</c:v>
                </c:pt>
                <c:pt idx="23">
                  <c:v>20.0107</c:v>
                </c:pt>
              </c:numCache>
            </c:numRef>
          </c:val>
        </c:ser>
        <c:ser>
          <c:idx val="5"/>
          <c:order val="5"/>
          <c:tx>
            <c:strRef>
              <c:f>Dashboard!$G$106</c:f>
              <c:strCache>
                <c:ptCount val="1"/>
                <c:pt idx="0">
                  <c:v>GoTyme</c:v>
                </c:pt>
              </c:strCache>
            </c:strRef>
          </c:tx>
          <c:spPr>
            <a:solidFill>
              <a:srgbClr val="C00000"/>
            </a:solidFill>
            <a:ln w="3175">
              <a:solidFill>
                <a:srgbClr val="FFFFFF"/>
              </a:solidFill>
            </a:ln>
          </c:spPr>
          <c:cat>
            <c:strRef>
              <c:f>Dashboard!$A$107:$A$130</c:f>
              <c:strCache>
                <c:ptCount val="24"/>
                <c:pt idx="0">
                  <c:v>Jan 2026</c:v>
                </c:pt>
                <c:pt idx="1">
                  <c:v>Feb 2026</c:v>
                </c:pt>
                <c:pt idx="2">
                  <c:v>Mar 2026</c:v>
                </c:pt>
                <c:pt idx="3">
                  <c:v>Apr 2026</c:v>
                </c:pt>
                <c:pt idx="4">
                  <c:v>May 2026</c:v>
                </c:pt>
                <c:pt idx="5">
                  <c:v>Jun 2026</c:v>
                </c:pt>
                <c:pt idx="6">
                  <c:v>Jul 2026</c:v>
                </c:pt>
                <c:pt idx="7">
                  <c:v>Aug 2026</c:v>
                </c:pt>
                <c:pt idx="8">
                  <c:v>Sep 2026</c:v>
                </c:pt>
                <c:pt idx="9">
                  <c:v>Oct 2026</c:v>
                </c:pt>
                <c:pt idx="10">
                  <c:v>Nov 2026</c:v>
                </c:pt>
                <c:pt idx="11">
                  <c:v>Dec 2026</c:v>
                </c:pt>
                <c:pt idx="12">
                  <c:v>Jan 2027</c:v>
                </c:pt>
                <c:pt idx="13">
                  <c:v>Feb 2027</c:v>
                </c:pt>
                <c:pt idx="14">
                  <c:v>Mar 2027</c:v>
                </c:pt>
                <c:pt idx="15">
                  <c:v>Apr 2027</c:v>
                </c:pt>
                <c:pt idx="16">
                  <c:v>May 2027</c:v>
                </c:pt>
                <c:pt idx="17">
                  <c:v>Jun 2027</c:v>
                </c:pt>
                <c:pt idx="18">
                  <c:v>Jul 2027</c:v>
                </c:pt>
                <c:pt idx="19">
                  <c:v>Aug 2027</c:v>
                </c:pt>
                <c:pt idx="20">
                  <c:v>Sep 2027</c:v>
                </c:pt>
                <c:pt idx="21">
                  <c:v>Oct 2027</c:v>
                </c:pt>
                <c:pt idx="22">
                  <c:v>Nov 2027</c:v>
                </c:pt>
                <c:pt idx="23">
                  <c:v>Dec 2027</c:v>
                </c:pt>
              </c:strCache>
            </c:strRef>
          </c:cat>
          <c:val>
            <c:numRef>
              <c:f>Dashboard!$G$107:$G$130</c:f>
              <c:numCache>
                <c:formatCode>General</c:formatCode>
                <c:ptCount val="24"/>
                <c:pt idx="0">
                  <c:v>0.0</c:v>
                </c:pt>
                <c:pt idx="1">
                  <c:v>30.0</c:v>
                </c:pt>
                <c:pt idx="2">
                  <c:v>30.075</c:v>
                </c:pt>
                <c:pt idx="3">
                  <c:v>30.1502</c:v>
                </c:pt>
                <c:pt idx="4">
                  <c:v>30.2256</c:v>
                </c:pt>
                <c:pt idx="5">
                  <c:v>30.3011</c:v>
                </c:pt>
                <c:pt idx="6">
                  <c:v>30.3769</c:v>
                </c:pt>
                <c:pt idx="7">
                  <c:v>30.4528</c:v>
                </c:pt>
                <c:pt idx="8">
                  <c:v>30.529</c:v>
                </c:pt>
                <c:pt idx="9">
                  <c:v>30.6053</c:v>
                </c:pt>
                <c:pt idx="10">
                  <c:v>30.6818</c:v>
                </c:pt>
                <c:pt idx="11">
                  <c:v>30.7585</c:v>
                </c:pt>
                <c:pt idx="12">
                  <c:v>30.8354</c:v>
                </c:pt>
                <c:pt idx="13">
                  <c:v>30.9125</c:v>
                </c:pt>
                <c:pt idx="14">
                  <c:v>30.9898</c:v>
                </c:pt>
                <c:pt idx="15">
                  <c:v>31.0672</c:v>
                </c:pt>
                <c:pt idx="16">
                  <c:v>31.1449</c:v>
                </c:pt>
                <c:pt idx="17">
                  <c:v>31.2228</c:v>
                </c:pt>
                <c:pt idx="18">
                  <c:v>31.3008</c:v>
                </c:pt>
                <c:pt idx="19">
                  <c:v>31.3791</c:v>
                </c:pt>
                <c:pt idx="20">
                  <c:v>31.4575</c:v>
                </c:pt>
                <c:pt idx="21">
                  <c:v>31.5362</c:v>
                </c:pt>
                <c:pt idx="22">
                  <c:v>31.615</c:v>
                </c:pt>
                <c:pt idx="23">
                  <c:v>31.694</c:v>
                </c:pt>
              </c:numCache>
            </c:numRef>
          </c:val>
        </c:ser>
        <c:ser>
          <c:idx val="6"/>
          <c:order val="6"/>
          <c:tx>
            <c:strRef>
              <c:f>Dashboard!$H$106</c:f>
              <c:strCache>
                <c:ptCount val="1"/>
                <c:pt idx="0">
                  <c:v>Maribank</c:v>
                </c:pt>
              </c:strCache>
            </c:strRef>
          </c:tx>
          <c:spPr>
            <a:solidFill>
              <a:srgbClr val="595959"/>
            </a:solidFill>
            <a:ln w="3175">
              <a:solidFill>
                <a:srgbClr val="FFFFFF"/>
              </a:solidFill>
            </a:ln>
          </c:spPr>
          <c:cat>
            <c:strRef>
              <c:f>Dashboard!$A$107:$A$130</c:f>
              <c:strCache>
                <c:ptCount val="24"/>
                <c:pt idx="0">
                  <c:v>Jan 2026</c:v>
                </c:pt>
                <c:pt idx="1">
                  <c:v>Feb 2026</c:v>
                </c:pt>
                <c:pt idx="2">
                  <c:v>Mar 2026</c:v>
                </c:pt>
                <c:pt idx="3">
                  <c:v>Apr 2026</c:v>
                </c:pt>
                <c:pt idx="4">
                  <c:v>May 2026</c:v>
                </c:pt>
                <c:pt idx="5">
                  <c:v>Jun 2026</c:v>
                </c:pt>
                <c:pt idx="6">
                  <c:v>Jul 2026</c:v>
                </c:pt>
                <c:pt idx="7">
                  <c:v>Aug 2026</c:v>
                </c:pt>
                <c:pt idx="8">
                  <c:v>Sep 2026</c:v>
                </c:pt>
                <c:pt idx="9">
                  <c:v>Oct 2026</c:v>
                </c:pt>
                <c:pt idx="10">
                  <c:v>Nov 2026</c:v>
                </c:pt>
                <c:pt idx="11">
                  <c:v>Dec 2026</c:v>
                </c:pt>
                <c:pt idx="12">
                  <c:v>Jan 2027</c:v>
                </c:pt>
                <c:pt idx="13">
                  <c:v>Feb 2027</c:v>
                </c:pt>
                <c:pt idx="14">
                  <c:v>Mar 2027</c:v>
                </c:pt>
                <c:pt idx="15">
                  <c:v>Apr 2027</c:v>
                </c:pt>
                <c:pt idx="16">
                  <c:v>May 2027</c:v>
                </c:pt>
                <c:pt idx="17">
                  <c:v>Jun 2027</c:v>
                </c:pt>
                <c:pt idx="18">
                  <c:v>Jul 2027</c:v>
                </c:pt>
                <c:pt idx="19">
                  <c:v>Aug 2027</c:v>
                </c:pt>
                <c:pt idx="20">
                  <c:v>Sep 2027</c:v>
                </c:pt>
                <c:pt idx="21">
                  <c:v>Oct 2027</c:v>
                </c:pt>
                <c:pt idx="22">
                  <c:v>Nov 2027</c:v>
                </c:pt>
                <c:pt idx="23">
                  <c:v>Dec 2027</c:v>
                </c:pt>
              </c:strCache>
            </c:strRef>
          </c:cat>
          <c:val>
            <c:numRef>
              <c:f>Dashboard!$H$107:$H$130</c:f>
              <c:numCache>
                <c:formatCode>General</c:formatCode>
                <c:ptCount val="24"/>
                <c:pt idx="0">
                  <c:v>0.0</c:v>
                </c:pt>
                <c:pt idx="1">
                  <c:v>21.6951</c:v>
                </c:pt>
                <c:pt idx="2">
                  <c:v>21.7539</c:v>
                </c:pt>
                <c:pt idx="3">
                  <c:v>21.8129</c:v>
                </c:pt>
                <c:pt idx="4">
                  <c:v>21.872</c:v>
                </c:pt>
                <c:pt idx="5">
                  <c:v>21.9314</c:v>
                </c:pt>
                <c:pt idx="6">
                  <c:v>21.9908</c:v>
                </c:pt>
                <c:pt idx="7">
                  <c:v>22.0505</c:v>
                </c:pt>
                <c:pt idx="8">
                  <c:v>22.1103</c:v>
                </c:pt>
                <c:pt idx="9">
                  <c:v>22.1702</c:v>
                </c:pt>
                <c:pt idx="10">
                  <c:v>22.2304</c:v>
                </c:pt>
                <c:pt idx="11">
                  <c:v>22.2906</c:v>
                </c:pt>
                <c:pt idx="12">
                  <c:v>22.3511</c:v>
                </c:pt>
                <c:pt idx="13">
                  <c:v>22.4117</c:v>
                </c:pt>
                <c:pt idx="14">
                  <c:v>22.4725</c:v>
                </c:pt>
                <c:pt idx="15">
                  <c:v>22.5334</c:v>
                </c:pt>
                <c:pt idx="16">
                  <c:v>22.5945</c:v>
                </c:pt>
                <c:pt idx="17">
                  <c:v>22.6558</c:v>
                </c:pt>
                <c:pt idx="18">
                  <c:v>22.7172</c:v>
                </c:pt>
                <c:pt idx="19">
                  <c:v>22.7789</c:v>
                </c:pt>
                <c:pt idx="20">
                  <c:v>22.8406</c:v>
                </c:pt>
                <c:pt idx="21">
                  <c:v>22.9026</c:v>
                </c:pt>
                <c:pt idx="22">
                  <c:v>22.9647</c:v>
                </c:pt>
                <c:pt idx="23">
                  <c:v>23.027</c:v>
                </c:pt>
              </c:numCache>
            </c:numRef>
          </c:val>
        </c:ser>
        <c:gapWidth val="40"/>
        <c:overlap val="100"/>
        <c:axId val="333"/>
        <c:axId val="444"/>
      </c:barChart>
      <c:catAx>
        <c:axId val="3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1">
                    <a:solidFill>
                      <a:srgbClr val="595959"/>
                    </a:solidFill>
                  </a:defRPr>
                </a:pPr>
                <a:r>
                  <a:rPr lang="en-US" sz="900" b="1">
                    <a:solidFill>
                      <a:srgbClr val="595959"/>
                    </a:solidFill>
                  </a:rPr>
                  <a:t>Month</a:t>
                </a:r>
              </a:p>
            </c:rich>
          </c:tx>
          <c:overlay val="0"/>
        </c:title>
        <c:txPr>
          <a:bodyPr rot="-2700000" spcFirstLastPara="1" vertOverflow="ellipsis" vert="horz" wrap="square" anchor="ctr" anchorCtr="1"/>
          <a:lstStyle/>
          <a:p>
            <a:pPr>
              <a:defRPr sz="800"/>
            </a:pPr>
            <a:endParaRPr lang="en-US"/>
          </a:p>
        </c:txPr>
        <c:crossAx val="444"/>
        <c:lblOffset val="100"/>
        <c:tickLblSkip val="1"/>
        <c:tickMarkSkip val="1"/>
        <c:noMultiLvlLbl val="0"/>
      </c:catAx>
      <c:valAx>
        <c:axId val="444"/>
        <c:scaling>
          <c:orientation val="minMax"/>
        </c:scaling>
        <c:delete val="0"/>
        <c:axPos val="l"/>
        <c:majorGridlines>
          <c:spPr>
            <a:ln w="9525">
              <a:solidFill>
                <a:srgbClr val="E7E7E7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="1">
                    <a:solidFill>
                      <a:srgbClr val="595959"/>
                    </a:solidFill>
                  </a:defRPr>
                </a:pPr>
                <a:r>
                  <a:rPr lang="en-US" sz="900" b="1">
                    <a:solidFill>
                      <a:srgbClr val="595959"/>
                    </a:solidFill>
                  </a:rPr>
                  <a:t>Interest Earned</a:t>
                </a:r>
              </a:p>
            </c:rich>
          </c:tx>
          <c:overlay val="0"/>
        </c:title>
        <c:numFmt formatCode="[$₱-3409]#,##0" sourceLinked="0"/>
        <c:crossAx val="333"/>
      </c:valAx>
    </c:plotArea>
    <c:legend>
      <c:legendPos val="b"/>
      <c:overlay val="0"/>
    </c:legend>
    <c:plotVisOnly val="1"/>
    <c:dispBlanksAs val="gap"/>
  </c:chart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27</xdr:row>
      <xdr:rowOff>0</xdr:rowOff>
    </xdr:from>
    <xdr:to>
      <xdr:col>12</xdr:col>
      <xdr:colOff>0</xdr:colOff>
      <xdr:row>50</xdr:row>
      <xdr:rowOff>0</xdr:rowOff>
    </xdr:to>
    <xdr:graphicFrame macro="">
      <xdr:nvGraphicFramePr>
        <xdr:cNvPr id="2" name="Savings Growth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14</xdr:row>
      <xdr:rowOff>0</xdr:rowOff>
    </xdr:from>
    <xdr:to>
      <xdr:col>11</xdr:col>
      <xdr:colOff>0</xdr:colOff>
      <xdr:row>26</xdr:row>
      <xdr:rowOff>0</xdr:rowOff>
    </xdr:to>
    <xdr:graphicFrame macro="">
      <xdr:nvGraphicFramePr>
        <xdr:cNvPr id="3" name="Savings by Ban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51</xdr:row>
      <xdr:rowOff>0</xdr:rowOff>
    </xdr:from>
    <xdr:to>
      <xdr:col>12</xdr:col>
      <xdr:colOff>0</xdr:colOff>
      <xdr:row>74</xdr:row>
      <xdr:rowOff>0</xdr:rowOff>
    </xdr:to>
    <xdr:graphicFrame macro="">
      <xdr:nvGraphicFramePr>
        <xdr:cNvPr id="4" name="Monthly Interes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Deposits" displayName="tblDeposits" ref="A5:E205" totalsRowShown="0">
  <autoFilter ref="A5:E205"/>
  <tableColumns count="5">
    <tableColumn id="1" name="Date"/>
    <tableColumn id="2" name="Bank"/>
    <tableColumn id="3" name="Account"/>
    <tableColumn id="4" name="Amount"/>
    <tableColumn id="5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Transactions" displayName="tblTransactions" ref="A5:F45" totalsRowShown="0">
  <autoFilter ref="A5:F45"/>
  <tableColumns count="6">
    <tableColumn id="1" name="Date"/>
    <tableColumn id="2" name="Type"/>
    <tableColumn id="3" name="Bank"/>
    <tableColumn id="4" name="Account"/>
    <tableColumn id="5" name="Amount"/>
    <tableColumn id="6" name="Notes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showGridLines="0" tabSelected="1" workbookViewId="0">
      <pane ySplit="3" topLeftCell="A4" activePane="bottomLeft" state="frozen"/>
      <selection pane="bottomLeft" activeCell="A4" sqref="A4"/>
    </sheetView>
  </sheetViews>
  <sheetFormatPr defaultRowHeight="15"/>
  <cols>
    <col min="1" max="1" width="20" customWidth="1"/>
    <col min="2" max="2" width="16" customWidth="1"/>
    <col min="3" max="3" width="16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2" customWidth="1"/>
    <col min="11" max="11" width="12" customWidth="1"/>
    <col min="12" max="12" width="12" customWidth="1"/>
    <col min="13" max="13" width="12" customWidth="1"/>
  </cols>
  <sheetData>
    <row r="1" ht="30" customHeight="1">
      <c r="A1" t="inlineStr" s="1">
        <is>
          <t xml:space="preserve">💰 Digital Bank Savings Tracker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4" customHeight="1">
      <c r="A2" t="inlineStr" s="3">
        <is>
          <t xml:space="preserve">🏠 Dashboard</t>
        </is>
      </c>
      <c r="B2" s="3"/>
      <c r="C2" t="inlineStr" s="2">
        <is>
          <t xml:space="preserve">➕ Deposit</t>
        </is>
      </c>
      <c r="D2" s="2"/>
      <c r="E2" t="inlineStr" s="2">
        <is>
          <t xml:space="preserve">🔄 Transactions</t>
        </is>
      </c>
      <c r="F2" s="2"/>
      <c r="G2" t="inlineStr" s="2">
        <is>
          <t xml:space="preserve">💼 Balance</t>
        </is>
      </c>
      <c r="H2" s="2"/>
      <c r="I2" t="inlineStr" s="2">
        <is>
          <t xml:space="preserve">📈 Interest</t>
        </is>
      </c>
      <c r="J2" s="2"/>
      <c r="K2" s="2"/>
      <c r="L2" s="2"/>
      <c r="M2" s="2"/>
    </row>
    <row r="3" ht="22" customHeight="1">
      <c r="A3" t="inlineStr" s="5">
        <is>
          <t xml:space="preserve">A live overview of everything in this workbook. Add deposits on the Deposit tab and this page updates automatically.</t>
        </is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ht="20" customHeight="1">
      <c r="A4" t="inlineStr" s="24">
        <is>
          <t xml:space="preserve">🔑 Key Metrics</t>
        </is>
      </c>
      <c r="B4" s="24"/>
      <c r="C4" s="24"/>
      <c r="D4" s="24"/>
      <c r="E4" s="24"/>
      <c r="F4" s="24"/>
      <c r="G4" s="24"/>
      <c r="H4" s="24"/>
      <c r="I4" s="25" t="str">
        <f>"Figures as of "&amp;TEXT(TODAY(),"mmm d, yyyy")</f>
        <v>Figures as of today</v>
      </c>
      <c r="J4" s="25"/>
      <c r="K4" s="25"/>
      <c r="L4" s="25"/>
      <c r="M4" s="25"/>
    </row>
    <row r="5" ht="18" customHeight="1">
      <c r="A5" t="inlineStr" s="26">
        <is>
          <t xml:space="preserve">Total Current Balance (incl. interest)</t>
        </is>
      </c>
      <c r="B5" s="26"/>
      <c r="C5" s="26"/>
      <c r="D5" s="26"/>
      <c r="E5" s="27">
        <f>SUM(Balance!$H$6:$H$19)</f>
        <v>495559.84</v>
      </c>
      <c r="F5" s="27"/>
      <c r="G5" s="27"/>
      <c r="H5" s="27"/>
    </row>
    <row r="6" ht="18" customHeight="1">
      <c r="A6" t="inlineStr" s="26">
        <is>
          <t xml:space="preserve">Total Deposited (All-Time)</t>
        </is>
      </c>
      <c r="B6" s="26"/>
      <c r="C6" s="26"/>
      <c r="D6" s="26"/>
      <c r="E6" s="27">
        <f>SUM(Balance!$D$6:$D$19)</f>
        <v>490000.0</v>
      </c>
      <c r="F6" s="27"/>
      <c r="G6" s="27"/>
      <c r="H6" s="27"/>
    </row>
    <row r="7" ht="18" customHeight="1">
      <c r="A7" t="inlineStr" s="26">
        <is>
          <t xml:space="preserve">Interest Earned to Date (auto)</t>
        </is>
      </c>
      <c r="B7" s="26"/>
      <c r="C7" s="26"/>
      <c r="D7" s="26"/>
      <c r="E7" s="27">
        <f>SUM(Balance!$G$6:$G$19)</f>
        <v>2559.84</v>
      </c>
      <c r="F7" s="27"/>
      <c r="G7" s="27"/>
      <c r="H7" s="27"/>
    </row>
    <row r="8" ht="18" customHeight="1">
      <c r="A8" t="inlineStr" s="26">
        <is>
          <t xml:space="preserve">Total Withdrawn</t>
        </is>
      </c>
      <c r="B8" s="26"/>
      <c r="C8" s="26"/>
      <c r="D8" s="26"/>
      <c r="E8" s="27">
        <f>-SUMIFS(tblTransactions[Amount],tblTransactions[Type],"Withdrawal")</f>
        <v>2000</v>
      </c>
      <c r="F8" s="27"/>
      <c r="G8" s="27"/>
      <c r="H8" s="27"/>
    </row>
    <row r="9" ht="6" customHeight="1"/>
    <row r="10" ht="22" customHeight="1">
      <c r="A10" t="inlineStr" s="24">
        <is>
          <t xml:space="preserve">🎯 Personal Goal Tracker</t>
        </is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</row>
    <row r="11" ht="18" customHeight="1">
      <c r="A11" t="inlineStr" s="26">
        <is>
          <t xml:space="preserve">Your Savings Goal Target</t>
        </is>
      </c>
      <c r="B11" s="26"/>
      <c r="C11" s="26"/>
      <c r="D11" s="26"/>
      <c r="E11" s="29">
        <v>100000</v>
      </c>
      <c r="F11" s="29"/>
      <c r="G11" s="29"/>
      <c r="H11" s="29"/>
    </row>
    <row r="12" ht="18" customHeight="1">
      <c r="A12" t="inlineStr" s="26">
        <is>
          <t xml:space="preserve">Maya Personal Goal — Current Balance</t>
        </is>
      </c>
      <c r="B12" s="26"/>
      <c r="C12" s="26"/>
      <c r="D12" s="26"/>
      <c r="E12" s="27">
        <f>IFERROR(VLOOKUP("Maya - Personal Goal",Balance!$C$6:$H$19,6,FALSE),0)</f>
        <v>25116.67</v>
      </c>
      <c r="F12" s="27"/>
      <c r="G12" s="27"/>
      <c r="H12" s="27"/>
    </row>
    <row r="13" ht="18" customHeight="1">
      <c r="A13" t="inlineStr" s="26">
        <is>
          <t xml:space="preserve">Progress Toward Goal</t>
        </is>
      </c>
      <c r="B13" s="26"/>
      <c r="C13" s="26"/>
      <c r="D13" s="26"/>
      <c r="E13" s="28">
        <f>IFERROR(E12/E11,0)</f>
        <v>0.2512</v>
      </c>
      <c r="F13" s="28"/>
      <c r="G13" s="28"/>
      <c r="H13" s="28"/>
    </row>
    <row r="14" ht="6" customHeight="1"/>
    <row r="15" ht="22" customHeight="1">
      <c r="A15" t="inlineStr" s="24">
        <is>
          <t xml:space="preserve">🏦 Balance by Bank</t>
        </is>
      </c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</row>
    <row r="16" ht="18" customHeight="1">
      <c r="A16" t="inlineStr" s="6">
        <is>
          <t xml:space="preserve">Bank</t>
        </is>
      </c>
      <c r="B16" t="inlineStr" s="6">
        <is>
          <t xml:space="preserve">Balance</t>
        </is>
      </c>
    </row>
    <row r="17">
      <c r="A17" t="inlineStr" s="7">
        <is>
          <t xml:space="preserve">Maya</t>
        </is>
      </c>
      <c r="B17" s="30">
        <f>SUMIF(Balance!$A$6:$A$19,A17,Balance!$H$6:$H$19)</f>
        <v>274565.82</v>
      </c>
    </row>
    <row r="18">
      <c r="A18" t="inlineStr" s="7">
        <is>
          <t xml:space="preserve">UNO</t>
        </is>
      </c>
      <c r="B18" s="30">
        <f>SUMIF(Balance!$A$6:$A$19,A18,Balance!$H$6:$H$19)</f>
        <v>125581.64</v>
      </c>
    </row>
    <row r="19">
      <c r="A19" t="inlineStr" s="7">
        <is>
          <t xml:space="preserve">Tonik</t>
        </is>
      </c>
      <c r="B19" s="30">
        <f>SUMIF(Balance!$A$6:$A$19,A19,Balance!$H$6:$H$19)</f>
        <v>50266.67</v>
      </c>
    </row>
    <row r="20">
      <c r="A20" t="inlineStr" s="7">
        <is>
          <t xml:space="preserve">Banko</t>
        </is>
      </c>
      <c r="B20" s="30">
        <f>SUMIF(Balance!$A$6:$A$19,A20,Balance!$H$6:$H$19)</f>
        <v>15070.02</v>
      </c>
    </row>
    <row r="21">
      <c r="A21" t="inlineStr" s="7">
        <is>
          <t xml:space="preserve">CIMB</t>
        </is>
      </c>
      <c r="B21" s="30">
        <f>SUMIF(Balance!$A$6:$A$19,A21,Balance!$H$6:$H$19)</f>
        <v>10021.45</v>
      </c>
    </row>
    <row r="22">
      <c r="A22" t="inlineStr" s="7">
        <is>
          <t xml:space="preserve">GoTyme</t>
        </is>
      </c>
      <c r="B22" s="30">
        <f>SUMIF(Balance!$A$6:$A$19,A22,Balance!$H$6:$H$19)</f>
        <v>12030.0</v>
      </c>
    </row>
    <row r="23">
      <c r="A23" t="inlineStr" s="7">
        <is>
          <t xml:space="preserve">Maribank</t>
        </is>
      </c>
      <c r="B23" s="30">
        <f>SUMIF(Balance!$A$6:$A$19,A23,Balance!$H$6:$H$19)</f>
        <v>8024.25</v>
      </c>
    </row>
    <row r="24">
      <c r="A24" t="inlineStr" s="15">
        <is>
          <t xml:space="preserve">Total</t>
        </is>
      </c>
      <c r="B24" s="16">
        <f>SUM(B17:B23)</f>
        <v>495559.84</v>
      </c>
    </row>
    <row r="27" ht="22" customHeight="1">
      <c r="A27" t="inlineStr" s="24">
        <is>
          <t xml:space="preserve">📈 Savings Growth by Bank (Cumulative Balance)</t>
        </is>
      </c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</row>
    <row r="51" ht="22" customHeight="1">
      <c r="A51" t="inlineStr" s="24">
        <is>
          <t xml:space="preserve">📊 Monthly Interest Earned by Bank</t>
        </is>
      </c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</row>
    <row r="77" ht="22" customHeight="1">
      <c r="A77" t="inlineStr" s="4">
        <is>
          <t xml:space="preserve">🗂 Chart Data (auto-calculated — do not edit)</t>
        </is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9">
      <c r="A79" t="inlineStr" s="22">
        <is>
          <t xml:space="preserve">Month</t>
        </is>
      </c>
      <c r="B79" t="inlineStr" s="22">
        <is>
          <t xml:space="preserve">Maya</t>
        </is>
      </c>
      <c r="C79" t="inlineStr" s="22">
        <is>
          <t xml:space="preserve">UNO</t>
        </is>
      </c>
      <c r="D79" t="inlineStr" s="22">
        <is>
          <t xml:space="preserve">Tonik</t>
        </is>
      </c>
      <c r="E79" t="inlineStr" s="22">
        <is>
          <t xml:space="preserve">Banko</t>
        </is>
      </c>
      <c r="F79" t="inlineStr" s="22">
        <is>
          <t xml:space="preserve">CIMB</t>
        </is>
      </c>
      <c r="G79" t="inlineStr" s="22">
        <is>
          <t xml:space="preserve">GoTyme</t>
        </is>
      </c>
      <c r="H79" t="inlineStr" s="22">
        <is>
          <t xml:space="preserve">Maribank</t>
        </is>
      </c>
      <c r="I79" t="inlineStr" s="22">
        <is>
          <t xml:space="preserve">Total Interest</t>
        </is>
      </c>
    </row>
    <row r="80">
      <c r="A80" t="inlineStr" s="7">
        <is>
          <t xml:space="preserve">Jan 2026</t>
        </is>
      </c>
      <c r="B80" s="8">
        <f>SUMPRODUCT((Interest!$A$6:$A$19=B$79)*Interest!$G$6:$G$19*Interest!$M$6:$M$19^0)</f>
        <v>273000.0</v>
      </c>
      <c r="C80" s="8">
        <f>SUMPRODUCT((Interest!$A$6:$A$19=C$79)*Interest!$G$6:$G$19*Interest!$M$6:$M$19^0)</f>
        <v>125000.0</v>
      </c>
      <c r="D80" s="8">
        <f>SUMPRODUCT((Interest!$A$6:$A$19=D$79)*Interest!$G$6:$G$19*Interest!$M$6:$M$19^0)</f>
        <v>50000.0</v>
      </c>
      <c r="E80" s="8">
        <f>SUMPRODUCT((Interest!$A$6:$A$19=E$79)*Interest!$G$6:$G$19*Interest!$M$6:$M$19^0)</f>
        <v>15000.0</v>
      </c>
      <c r="F80" s="8">
        <f>SUMPRODUCT((Interest!$A$6:$A$19=F$79)*Interest!$G$6:$G$19*Interest!$M$6:$M$19^0)</f>
        <v>10000.0</v>
      </c>
      <c r="G80" s="8">
        <f>SUMPRODUCT((Interest!$A$6:$A$19=G$79)*Interest!$G$6:$G$19*Interest!$M$6:$M$19^0)</f>
        <v>12000.0</v>
      </c>
      <c r="H80" s="8">
        <f>SUMPRODUCT((Interest!$A$6:$A$19=H$79)*Interest!$G$6:$G$19*Interest!$M$6:$M$19^0)</f>
        <v>8000.0</v>
      </c>
      <c r="I80" s="8">
        <v>0</v>
      </c>
    </row>
    <row r="81">
      <c r="A81" t="inlineStr" s="7">
        <is>
          <t xml:space="preserve">Feb 2026</t>
        </is>
      </c>
      <c r="B81" s="8">
        <f>SUMPRODUCT((Interest!$A$6:$A$19=B$79)*Interest!$G$6:$G$19*Interest!$M$6:$M$19^1)</f>
        <v>274518.28</v>
      </c>
      <c r="C81" s="8">
        <f>SUMPRODUCT((Interest!$A$6:$A$19=C$79)*Interest!$G$6:$G$19*Interest!$M$6:$M$19^1)</f>
        <v>125573.02</v>
      </c>
      <c r="D81" s="8">
        <f>SUMPRODUCT((Interest!$A$6:$A$19=D$79)*Interest!$G$6:$G$19*Interest!$M$6:$M$19^1)</f>
        <v>50266.67</v>
      </c>
      <c r="E81" s="8">
        <f>SUMPRODUCT((Interest!$A$6:$A$19=E$79)*Interest!$G$6:$G$19*Interest!$M$6:$M$19^1)</f>
        <v>15062.63</v>
      </c>
      <c r="F81" s="8">
        <f>SUMPRODUCT((Interest!$A$6:$A$19=F$79)*Interest!$G$6:$G$19*Interest!$M$6:$M$19^1)</f>
        <v>10019.18</v>
      </c>
      <c r="G81" s="8">
        <f>SUMPRODUCT((Interest!$A$6:$A$19=G$79)*Interest!$G$6:$G$19*Interest!$M$6:$M$19^1)</f>
        <v>12030.0</v>
      </c>
      <c r="H81" s="8">
        <f>SUMPRODUCT((Interest!$A$6:$A$19=H$79)*Interest!$G$6:$G$19*Interest!$M$6:$M$19^1)</f>
        <v>8021.7</v>
      </c>
      <c r="I81" s="8">
        <f>SUM(B81:H81)-SUM(B80:H80)</f>
        <v>2491.47</v>
      </c>
    </row>
    <row r="82">
      <c r="A82" t="inlineStr" s="7">
        <is>
          <t xml:space="preserve">Mar 2026</t>
        </is>
      </c>
      <c r="B82" s="8">
        <f>SUMPRODUCT((Interest!$A$6:$A$19=B$79)*Interest!$G$6:$G$19*Interest!$M$6:$M$19^2)</f>
        <v>276045.47</v>
      </c>
      <c r="C82" s="8">
        <f>SUMPRODUCT((Interest!$A$6:$A$19=C$79)*Interest!$G$6:$G$19*Interest!$M$6:$M$19^2)</f>
        <v>126148.75</v>
      </c>
      <c r="D82" s="8">
        <f>SUMPRODUCT((Interest!$A$6:$A$19=D$79)*Interest!$G$6:$G$19*Interest!$M$6:$M$19^2)</f>
        <v>50534.89</v>
      </c>
      <c r="E82" s="8">
        <f>SUMPRODUCT((Interest!$A$6:$A$19=E$79)*Interest!$G$6:$G$19*Interest!$M$6:$M$19^2)</f>
        <v>15125.51</v>
      </c>
      <c r="F82" s="8">
        <f>SUMPRODUCT((Interest!$A$6:$A$19=F$79)*Interest!$G$6:$G$19*Interest!$M$6:$M$19^2)</f>
        <v>10038.41</v>
      </c>
      <c r="G82" s="8">
        <f>SUMPRODUCT((Interest!$A$6:$A$19=G$79)*Interest!$G$6:$G$19*Interest!$M$6:$M$19^2)</f>
        <v>12060.07</v>
      </c>
      <c r="H82" s="8">
        <f>SUMPRODUCT((Interest!$A$6:$A$19=H$79)*Interest!$G$6:$G$19*Interest!$M$6:$M$19^2)</f>
        <v>8043.45</v>
      </c>
      <c r="I82" s="8">
        <f>SUM(B82:H82)-SUM(B81:H81)</f>
        <v>2505.08</v>
      </c>
    </row>
    <row r="83">
      <c r="A83" t="inlineStr" s="7">
        <is>
          <t xml:space="preserve">Apr 2026</t>
        </is>
      </c>
      <c r="B83" s="8">
        <f>SUMPRODUCT((Interest!$A$6:$A$19=B$79)*Interest!$G$6:$G$19*Interest!$M$6:$M$19^3)</f>
        <v>277581.62</v>
      </c>
      <c r="C83" s="8">
        <f>SUMPRODUCT((Interest!$A$6:$A$19=C$79)*Interest!$G$6:$G$19*Interest!$M$6:$M$19^3)</f>
        <v>126727.21</v>
      </c>
      <c r="D83" s="8">
        <f>SUMPRODUCT((Interest!$A$6:$A$19=D$79)*Interest!$G$6:$G$19*Interest!$M$6:$M$19^3)</f>
        <v>50804.68</v>
      </c>
      <c r="E83" s="8">
        <f>SUMPRODUCT((Interest!$A$6:$A$19=E$79)*Interest!$G$6:$G$19*Interest!$M$6:$M$19^3)</f>
        <v>15188.66</v>
      </c>
      <c r="F83" s="8">
        <f>SUMPRODUCT((Interest!$A$6:$A$19=F$79)*Interest!$G$6:$G$19*Interest!$M$6:$M$19^3)</f>
        <v>10057.66</v>
      </c>
      <c r="G83" s="8">
        <f>SUMPRODUCT((Interest!$A$6:$A$19=G$79)*Interest!$G$6:$G$19*Interest!$M$6:$M$19^3)</f>
        <v>12090.23</v>
      </c>
      <c r="H83" s="8">
        <f>SUMPRODUCT((Interest!$A$6:$A$19=H$79)*Interest!$G$6:$G$19*Interest!$M$6:$M$19^3)</f>
        <v>8065.26</v>
      </c>
      <c r="I83" s="8">
        <f>SUM(B83:H83)-SUM(B82:H82)</f>
        <v>2518.77</v>
      </c>
    </row>
    <row r="84">
      <c r="A84" t="inlineStr" s="7">
        <is>
          <t xml:space="preserve">May 2026</t>
        </is>
      </c>
      <c r="B84" s="8">
        <f>SUMPRODUCT((Interest!$A$6:$A$19=B$79)*Interest!$G$6:$G$19*Interest!$M$6:$M$19^4)</f>
        <v>279126.78</v>
      </c>
      <c r="C84" s="8">
        <f>SUMPRODUCT((Interest!$A$6:$A$19=C$79)*Interest!$G$6:$G$19*Interest!$M$6:$M$19^4)</f>
        <v>127308.41</v>
      </c>
      <c r="D84" s="8">
        <f>SUMPRODUCT((Interest!$A$6:$A$19=D$79)*Interest!$G$6:$G$19*Interest!$M$6:$M$19^4)</f>
        <v>51076.04</v>
      </c>
      <c r="E84" s="8">
        <f>SUMPRODUCT((Interest!$A$6:$A$19=E$79)*Interest!$G$6:$G$19*Interest!$M$6:$M$19^4)</f>
        <v>15252.08</v>
      </c>
      <c r="F84" s="8">
        <f>SUMPRODUCT((Interest!$A$6:$A$19=F$79)*Interest!$G$6:$G$19*Interest!$M$6:$M$19^4)</f>
        <v>10076.96</v>
      </c>
      <c r="G84" s="8">
        <f>SUMPRODUCT((Interest!$A$6:$A$19=G$79)*Interest!$G$6:$G$19*Interest!$M$6:$M$19^4)</f>
        <v>12120.45</v>
      </c>
      <c r="H84" s="8">
        <f>SUMPRODUCT((Interest!$A$6:$A$19=H$79)*Interest!$G$6:$G$19*Interest!$M$6:$M$19^4)</f>
        <v>8087.13</v>
      </c>
      <c r="I84" s="8">
        <f>SUM(B84:H84)-SUM(B83:H83)</f>
        <v>2532.53</v>
      </c>
    </row>
    <row r="85">
      <c r="A85" t="inlineStr" s="7">
        <is>
          <t xml:space="preserve">Jun 2026</t>
        </is>
      </c>
      <c r="B85" s="8">
        <f>SUMPRODUCT((Interest!$A$6:$A$19=B$79)*Interest!$G$6:$G$19*Interest!$M$6:$M$19^5)</f>
        <v>280681.02</v>
      </c>
      <c r="C85" s="8">
        <f>SUMPRODUCT((Interest!$A$6:$A$19=C$79)*Interest!$G$6:$G$19*Interest!$M$6:$M$19^5)</f>
        <v>127892.36</v>
      </c>
      <c r="D85" s="8">
        <f>SUMPRODUCT((Interest!$A$6:$A$19=D$79)*Interest!$G$6:$G$19*Interest!$M$6:$M$19^5)</f>
        <v>51348.99</v>
      </c>
      <c r="E85" s="8">
        <f>SUMPRODUCT((Interest!$A$6:$A$19=E$79)*Interest!$G$6:$G$19*Interest!$M$6:$M$19^5)</f>
        <v>15315.76</v>
      </c>
      <c r="F85" s="8">
        <f>SUMPRODUCT((Interest!$A$6:$A$19=F$79)*Interest!$G$6:$G$19*Interest!$M$6:$M$19^5)</f>
        <v>10096.29</v>
      </c>
      <c r="G85" s="8">
        <f>SUMPRODUCT((Interest!$A$6:$A$19=G$79)*Interest!$G$6:$G$19*Interest!$M$6:$M$19^5)</f>
        <v>12150.75</v>
      </c>
      <c r="H85" s="8">
        <f>SUMPRODUCT((Interest!$A$6:$A$19=H$79)*Interest!$G$6:$G$19*Interest!$M$6:$M$19^5)</f>
        <v>8109.07</v>
      </c>
      <c r="I85" s="8">
        <f>SUM(B85:H85)-SUM(B84:H84)</f>
        <v>2546.38</v>
      </c>
    </row>
    <row r="86">
      <c r="A86" t="inlineStr" s="7">
        <is>
          <t xml:space="preserve">Jul 2026</t>
        </is>
      </c>
      <c r="B86" s="8">
        <f>SUMPRODUCT((Interest!$A$6:$A$19=B$79)*Interest!$G$6:$G$19*Interest!$M$6:$M$19^6)</f>
        <v>282244.39</v>
      </c>
      <c r="C86" s="8">
        <f>SUMPRODUCT((Interest!$A$6:$A$19=C$79)*Interest!$G$6:$G$19*Interest!$M$6:$M$19^6)</f>
        <v>128479.08</v>
      </c>
      <c r="D86" s="8">
        <f>SUMPRODUCT((Interest!$A$6:$A$19=D$79)*Interest!$G$6:$G$19*Interest!$M$6:$M$19^6)</f>
        <v>51623.53</v>
      </c>
      <c r="E86" s="8">
        <f>SUMPRODUCT((Interest!$A$6:$A$19=E$79)*Interest!$G$6:$G$19*Interest!$M$6:$M$19^6)</f>
        <v>15379.7</v>
      </c>
      <c r="F86" s="8">
        <f>SUMPRODUCT((Interest!$A$6:$A$19=F$79)*Interest!$G$6:$G$19*Interest!$M$6:$M$19^6)</f>
        <v>10115.66</v>
      </c>
      <c r="G86" s="8">
        <f>SUMPRODUCT((Interest!$A$6:$A$19=G$79)*Interest!$G$6:$G$19*Interest!$M$6:$M$19^6)</f>
        <v>12181.13</v>
      </c>
      <c r="H86" s="8">
        <f>SUMPRODUCT((Interest!$A$6:$A$19=H$79)*Interest!$G$6:$G$19*Interest!$M$6:$M$19^6)</f>
        <v>8131.06</v>
      </c>
      <c r="I86" s="8">
        <f>SUM(B86:H86)-SUM(B85:H85)</f>
        <v>2560.31</v>
      </c>
    </row>
    <row r="87">
      <c r="A87" t="inlineStr" s="7">
        <is>
          <t xml:space="preserve">Aug 2026</t>
        </is>
      </c>
      <c r="B87" s="8">
        <f>SUMPRODUCT((Interest!$A$6:$A$19=B$79)*Interest!$G$6:$G$19*Interest!$M$6:$M$19^7)</f>
        <v>283816.94</v>
      </c>
      <c r="C87" s="8">
        <f>SUMPRODUCT((Interest!$A$6:$A$19=C$79)*Interest!$G$6:$G$19*Interest!$M$6:$M$19^7)</f>
        <v>129068.58</v>
      </c>
      <c r="D87" s="8">
        <f>SUMPRODUCT((Interest!$A$6:$A$19=D$79)*Interest!$G$6:$G$19*Interest!$M$6:$M$19^7)</f>
        <v>51899.67</v>
      </c>
      <c r="E87" s="8">
        <f>SUMPRODUCT((Interest!$A$6:$A$19=E$79)*Interest!$G$6:$G$19*Interest!$M$6:$M$19^7)</f>
        <v>15443.91</v>
      </c>
      <c r="F87" s="8">
        <f>SUMPRODUCT((Interest!$A$6:$A$19=F$79)*Interest!$G$6:$G$19*Interest!$M$6:$M$19^7)</f>
        <v>10135.07</v>
      </c>
      <c r="G87" s="8">
        <f>SUMPRODUCT((Interest!$A$6:$A$19=G$79)*Interest!$G$6:$G$19*Interest!$M$6:$M$19^7)</f>
        <v>12211.58</v>
      </c>
      <c r="H87" s="8">
        <f>SUMPRODUCT((Interest!$A$6:$A$19=H$79)*Interest!$G$6:$G$19*Interest!$M$6:$M$19^7)</f>
        <v>8153.11</v>
      </c>
      <c r="I87" s="8">
        <f>SUM(B87:H87)-SUM(B86:H86)</f>
        <v>2574.32</v>
      </c>
    </row>
    <row r="88">
      <c r="A88" t="inlineStr" s="7">
        <is>
          <t xml:space="preserve">Sep 2026</t>
        </is>
      </c>
      <c r="B88" s="8">
        <f>SUMPRODUCT((Interest!$A$6:$A$19=B$79)*Interest!$G$6:$G$19*Interest!$M$6:$M$19^8)</f>
        <v>285398.74</v>
      </c>
      <c r="C88" s="8">
        <f>SUMPRODUCT((Interest!$A$6:$A$19=C$79)*Interest!$G$6:$G$19*Interest!$M$6:$M$19^8)</f>
        <v>129660.87</v>
      </c>
      <c r="D88" s="8">
        <f>SUMPRODUCT((Interest!$A$6:$A$19=D$79)*Interest!$G$6:$G$19*Interest!$M$6:$M$19^8)</f>
        <v>52177.43</v>
      </c>
      <c r="E88" s="8">
        <f>SUMPRODUCT((Interest!$A$6:$A$19=E$79)*Interest!$G$6:$G$19*Interest!$M$6:$M$19^8)</f>
        <v>15508.39</v>
      </c>
      <c r="F88" s="8">
        <f>SUMPRODUCT((Interest!$A$6:$A$19=F$79)*Interest!$G$6:$G$19*Interest!$M$6:$M$19^8)</f>
        <v>10154.51</v>
      </c>
      <c r="G88" s="8">
        <f>SUMPRODUCT((Interest!$A$6:$A$19=G$79)*Interest!$G$6:$G$19*Interest!$M$6:$M$19^8)</f>
        <v>12242.11</v>
      </c>
      <c r="H88" s="8">
        <f>SUMPRODUCT((Interest!$A$6:$A$19=H$79)*Interest!$G$6:$G$19*Interest!$M$6:$M$19^8)</f>
        <v>8175.22</v>
      </c>
      <c r="I88" s="8">
        <f>SUM(B88:H88)-SUM(B87:H87)</f>
        <v>2588.41</v>
      </c>
    </row>
    <row r="89">
      <c r="A89" t="inlineStr" s="7">
        <is>
          <t xml:space="preserve">Oct 2026</t>
        </is>
      </c>
      <c r="B89" s="8">
        <f>SUMPRODUCT((Interest!$A$6:$A$19=B$79)*Interest!$G$6:$G$19*Interest!$M$6:$M$19^9)</f>
        <v>286989.84</v>
      </c>
      <c r="C89" s="8">
        <f>SUMPRODUCT((Interest!$A$6:$A$19=C$79)*Interest!$G$6:$G$19*Interest!$M$6:$M$19^9)</f>
        <v>130255.96</v>
      </c>
      <c r="D89" s="8">
        <f>SUMPRODUCT((Interest!$A$6:$A$19=D$79)*Interest!$G$6:$G$19*Interest!$M$6:$M$19^9)</f>
        <v>52456.82</v>
      </c>
      <c r="E89" s="8">
        <f>SUMPRODUCT((Interest!$A$6:$A$19=E$79)*Interest!$G$6:$G$19*Interest!$M$6:$M$19^9)</f>
        <v>15573.14</v>
      </c>
      <c r="F89" s="8">
        <f>SUMPRODUCT((Interest!$A$6:$A$19=F$79)*Interest!$G$6:$G$19*Interest!$M$6:$M$19^9)</f>
        <v>10173.99</v>
      </c>
      <c r="G89" s="8">
        <f>SUMPRODUCT((Interest!$A$6:$A$19=G$79)*Interest!$G$6:$G$19*Interest!$M$6:$M$19^9)</f>
        <v>12272.72</v>
      </c>
      <c r="H89" s="8">
        <f>SUMPRODUCT((Interest!$A$6:$A$19=H$79)*Interest!$G$6:$G$19*Interest!$M$6:$M$19^9)</f>
        <v>8197.39</v>
      </c>
      <c r="I89" s="8">
        <f>SUM(B89:H89)-SUM(B88:H88)</f>
        <v>2602.59</v>
      </c>
    </row>
    <row r="90">
      <c r="A90" t="inlineStr" s="7">
        <is>
          <t xml:space="preserve">Nov 2026</t>
        </is>
      </c>
      <c r="B90" s="8">
        <f>SUMPRODUCT((Interest!$A$6:$A$19=B$79)*Interest!$G$6:$G$19*Interest!$M$6:$M$19^10)</f>
        <v>288590.3</v>
      </c>
      <c r="C90" s="8">
        <f>SUMPRODUCT((Interest!$A$6:$A$19=C$79)*Interest!$G$6:$G$19*Interest!$M$6:$M$19^10)</f>
        <v>130853.88</v>
      </c>
      <c r="D90" s="8">
        <f>SUMPRODUCT((Interest!$A$6:$A$19=D$79)*Interest!$G$6:$G$19*Interest!$M$6:$M$19^10)</f>
        <v>52737.84</v>
      </c>
      <c r="E90" s="8">
        <f>SUMPRODUCT((Interest!$A$6:$A$19=E$79)*Interest!$G$6:$G$19*Interest!$M$6:$M$19^10)</f>
        <v>15638.16</v>
      </c>
      <c r="F90" s="8">
        <f>SUMPRODUCT((Interest!$A$6:$A$19=F$79)*Interest!$G$6:$G$19*Interest!$M$6:$M$19^10)</f>
        <v>10193.51</v>
      </c>
      <c r="G90" s="8">
        <f>SUMPRODUCT((Interest!$A$6:$A$19=G$79)*Interest!$G$6:$G$19*Interest!$M$6:$M$19^10)</f>
        <v>12303.4</v>
      </c>
      <c r="H90" s="8">
        <f>SUMPRODUCT((Interest!$A$6:$A$19=H$79)*Interest!$G$6:$G$19*Interest!$M$6:$M$19^10)</f>
        <v>8219.62</v>
      </c>
      <c r="I90" s="8">
        <f>SUM(B90:H90)-SUM(B89:H89)</f>
        <v>2616.85</v>
      </c>
    </row>
    <row r="91">
      <c r="A91" t="inlineStr" s="7">
        <is>
          <t xml:space="preserve">Dec 2026</t>
        </is>
      </c>
      <c r="B91" s="8">
        <f>SUMPRODUCT((Interest!$A$6:$A$19=B$79)*Interest!$G$6:$G$19*Interest!$M$6:$M$19^11)</f>
        <v>290200.18</v>
      </c>
      <c r="C91" s="8">
        <f>SUMPRODUCT((Interest!$A$6:$A$19=C$79)*Interest!$G$6:$G$19*Interest!$M$6:$M$19^11)</f>
        <v>131454.63</v>
      </c>
      <c r="D91" s="8">
        <f>SUMPRODUCT((Interest!$A$6:$A$19=D$79)*Interest!$G$6:$G$19*Interest!$M$6:$M$19^11)</f>
        <v>53020.5</v>
      </c>
      <c r="E91" s="8">
        <f>SUMPRODUCT((Interest!$A$6:$A$19=E$79)*Interest!$G$6:$G$19*Interest!$M$6:$M$19^11)</f>
        <v>15703.45</v>
      </c>
      <c r="F91" s="8">
        <f>SUMPRODUCT((Interest!$A$6:$A$19=F$79)*Interest!$G$6:$G$19*Interest!$M$6:$M$19^11)</f>
        <v>10213.06</v>
      </c>
      <c r="G91" s="8">
        <f>SUMPRODUCT((Interest!$A$6:$A$19=G$79)*Interest!$G$6:$G$19*Interest!$M$6:$M$19^11)</f>
        <v>12334.16</v>
      </c>
      <c r="H91" s="8">
        <f>SUMPRODUCT((Interest!$A$6:$A$19=H$79)*Interest!$G$6:$G$19*Interest!$M$6:$M$19^11)</f>
        <v>8241.91</v>
      </c>
      <c r="I91" s="8">
        <f>SUM(B91:H91)-SUM(B90:H90)</f>
        <v>2631.19</v>
      </c>
    </row>
    <row r="92">
      <c r="A92" t="inlineStr" s="7">
        <is>
          <t xml:space="preserve">Jan 2027</t>
        </is>
      </c>
      <c r="B92" s="8">
        <f>SUMPRODUCT((Interest!$A$6:$A$19=B$79)*Interest!$G$6:$G$19*Interest!$M$6:$M$19^12)</f>
        <v>291819.54</v>
      </c>
      <c r="C92" s="8">
        <f>SUMPRODUCT((Interest!$A$6:$A$19=C$79)*Interest!$G$6:$G$19*Interest!$M$6:$M$19^12)</f>
        <v>132058.23</v>
      </c>
      <c r="D92" s="8">
        <f>SUMPRODUCT((Interest!$A$6:$A$19=D$79)*Interest!$G$6:$G$19*Interest!$M$6:$M$19^12)</f>
        <v>53304.82</v>
      </c>
      <c r="E92" s="8">
        <f>SUMPRODUCT((Interest!$A$6:$A$19=E$79)*Interest!$G$6:$G$19*Interest!$M$6:$M$19^12)</f>
        <v>15769.01</v>
      </c>
      <c r="F92" s="8">
        <f>SUMPRODUCT((Interest!$A$6:$A$19=F$79)*Interest!$G$6:$G$19*Interest!$M$6:$M$19^12)</f>
        <v>10232.66</v>
      </c>
      <c r="G92" s="8">
        <f>SUMPRODUCT((Interest!$A$6:$A$19=G$79)*Interest!$G$6:$G$19*Interest!$M$6:$M$19^12)</f>
        <v>12364.99</v>
      </c>
      <c r="H92" s="8">
        <f>SUMPRODUCT((Interest!$A$6:$A$19=H$79)*Interest!$G$6:$G$19*Interest!$M$6:$M$19^12)</f>
        <v>8264.26</v>
      </c>
      <c r="I92" s="8">
        <f>SUM(B92:H92)-SUM(B91:H91)</f>
        <v>2645.62</v>
      </c>
    </row>
    <row r="93">
      <c r="A93" t="inlineStr" s="7">
        <is>
          <t xml:space="preserve">Feb 2027</t>
        </is>
      </c>
      <c r="B93" s="8">
        <f>SUMPRODUCT((Interest!$A$6:$A$19=B$79)*Interest!$G$6:$G$19*Interest!$M$6:$M$19^13)</f>
        <v>293448.43</v>
      </c>
      <c r="C93" s="8">
        <f>SUMPRODUCT((Interest!$A$6:$A$19=C$79)*Interest!$G$6:$G$19*Interest!$M$6:$M$19^13)</f>
        <v>132664.69</v>
      </c>
      <c r="D93" s="8">
        <f>SUMPRODUCT((Interest!$A$6:$A$19=D$79)*Interest!$G$6:$G$19*Interest!$M$6:$M$19^13)</f>
        <v>53590.8</v>
      </c>
      <c r="E93" s="8">
        <f>SUMPRODUCT((Interest!$A$6:$A$19=E$79)*Interest!$G$6:$G$19*Interest!$M$6:$M$19^13)</f>
        <v>15834.85</v>
      </c>
      <c r="F93" s="8">
        <f>SUMPRODUCT((Interest!$A$6:$A$19=F$79)*Interest!$G$6:$G$19*Interest!$M$6:$M$19^13)</f>
        <v>10252.29</v>
      </c>
      <c r="G93" s="8">
        <f>SUMPRODUCT((Interest!$A$6:$A$19=G$79)*Interest!$G$6:$G$19*Interest!$M$6:$M$19^13)</f>
        <v>12395.9</v>
      </c>
      <c r="H93" s="8">
        <f>SUMPRODUCT((Interest!$A$6:$A$19=H$79)*Interest!$G$6:$G$19*Interest!$M$6:$M$19^13)</f>
        <v>8286.67</v>
      </c>
      <c r="I93" s="8">
        <f>SUM(B93:H93)-SUM(B92:H92)</f>
        <v>2660.13</v>
      </c>
    </row>
    <row r="94">
      <c r="A94" t="inlineStr" s="7">
        <is>
          <t xml:space="preserve">Mar 2027</t>
        </is>
      </c>
      <c r="B94" s="8">
        <f>SUMPRODUCT((Interest!$A$6:$A$19=B$79)*Interest!$G$6:$G$19*Interest!$M$6:$M$19^14)</f>
        <v>295086.93</v>
      </c>
      <c r="C94" s="8">
        <f>SUMPRODUCT((Interest!$A$6:$A$19=C$79)*Interest!$G$6:$G$19*Interest!$M$6:$M$19^14)</f>
        <v>133274.02</v>
      </c>
      <c r="D94" s="8">
        <f>SUMPRODUCT((Interest!$A$6:$A$19=D$79)*Interest!$G$6:$G$19*Interest!$M$6:$M$19^14)</f>
        <v>53878.46</v>
      </c>
      <c r="E94" s="8">
        <f>SUMPRODUCT((Interest!$A$6:$A$19=E$79)*Interest!$G$6:$G$19*Interest!$M$6:$M$19^14)</f>
        <v>15900.96</v>
      </c>
      <c r="F94" s="8">
        <f>SUMPRODUCT((Interest!$A$6:$A$19=F$79)*Interest!$G$6:$G$19*Interest!$M$6:$M$19^14)</f>
        <v>10271.96</v>
      </c>
      <c r="G94" s="8">
        <f>SUMPRODUCT((Interest!$A$6:$A$19=G$79)*Interest!$G$6:$G$19*Interest!$M$6:$M$19^14)</f>
        <v>12426.89</v>
      </c>
      <c r="H94" s="8">
        <f>SUMPRODUCT((Interest!$A$6:$A$19=H$79)*Interest!$G$6:$G$19*Interest!$M$6:$M$19^14)</f>
        <v>8309.14</v>
      </c>
      <c r="I94" s="8">
        <f>SUM(B94:H94)-SUM(B93:H93)</f>
        <v>2674.73</v>
      </c>
    </row>
    <row r="95">
      <c r="A95" t="inlineStr" s="7">
        <is>
          <t xml:space="preserve">Apr 2027</t>
        </is>
      </c>
      <c r="B95" s="8">
        <f>SUMPRODUCT((Interest!$A$6:$A$19=B$79)*Interest!$G$6:$G$19*Interest!$M$6:$M$19^15)</f>
        <v>296735.08</v>
      </c>
      <c r="C95" s="8">
        <f>SUMPRODUCT((Interest!$A$6:$A$19=C$79)*Interest!$G$6:$G$19*Interest!$M$6:$M$19^15)</f>
        <v>133886.25</v>
      </c>
      <c r="D95" s="8">
        <f>SUMPRODUCT((Interest!$A$6:$A$19=D$79)*Interest!$G$6:$G$19*Interest!$M$6:$M$19^15)</f>
        <v>54167.8</v>
      </c>
      <c r="E95" s="8">
        <f>SUMPRODUCT((Interest!$A$6:$A$19=E$79)*Interest!$G$6:$G$19*Interest!$M$6:$M$19^15)</f>
        <v>15967.35</v>
      </c>
      <c r="F95" s="8">
        <f>SUMPRODUCT((Interest!$A$6:$A$19=F$79)*Interest!$G$6:$G$19*Interest!$M$6:$M$19^15)</f>
        <v>10291.66</v>
      </c>
      <c r="G95" s="8">
        <f>SUMPRODUCT((Interest!$A$6:$A$19=G$79)*Interest!$G$6:$G$19*Interest!$M$6:$M$19^15)</f>
        <v>12457.96</v>
      </c>
      <c r="H95" s="8">
        <f>SUMPRODUCT((Interest!$A$6:$A$19=H$79)*Interest!$G$6:$G$19*Interest!$M$6:$M$19^15)</f>
        <v>8331.68</v>
      </c>
      <c r="I95" s="8">
        <f>SUM(B95:H95)-SUM(B94:H94)</f>
        <v>2689.41</v>
      </c>
    </row>
    <row r="96">
      <c r="A96" t="inlineStr" s="7">
        <is>
          <t xml:space="preserve">May 2027</t>
        </is>
      </c>
      <c r="B96" s="8">
        <f>SUMPRODUCT((Interest!$A$6:$A$19=B$79)*Interest!$G$6:$G$19*Interest!$M$6:$M$19^16)</f>
        <v>298392.95</v>
      </c>
      <c r="C96" s="8">
        <f>SUMPRODUCT((Interest!$A$6:$A$19=C$79)*Interest!$G$6:$G$19*Interest!$M$6:$M$19^16)</f>
        <v>134501.37</v>
      </c>
      <c r="D96" s="8">
        <f>SUMPRODUCT((Interest!$A$6:$A$19=D$79)*Interest!$G$6:$G$19*Interest!$M$6:$M$19^16)</f>
        <v>54458.84</v>
      </c>
      <c r="E96" s="8">
        <f>SUMPRODUCT((Interest!$A$6:$A$19=E$79)*Interest!$G$6:$G$19*Interest!$M$6:$M$19^16)</f>
        <v>16034.01</v>
      </c>
      <c r="F96" s="8">
        <f>SUMPRODUCT((Interest!$A$6:$A$19=F$79)*Interest!$G$6:$G$19*Interest!$M$6:$M$19^16)</f>
        <v>10311.41</v>
      </c>
      <c r="G96" s="8">
        <f>SUMPRODUCT((Interest!$A$6:$A$19=G$79)*Interest!$G$6:$G$19*Interest!$M$6:$M$19^16)</f>
        <v>12489.11</v>
      </c>
      <c r="H96" s="8">
        <f>SUMPRODUCT((Interest!$A$6:$A$19=H$79)*Interest!$G$6:$G$19*Interest!$M$6:$M$19^16)</f>
        <v>8354.27</v>
      </c>
      <c r="I96" s="8">
        <f>SUM(B96:H96)-SUM(B95:H95)</f>
        <v>2704.19</v>
      </c>
    </row>
    <row r="97">
      <c r="A97" t="inlineStr" s="7">
        <is>
          <t xml:space="preserve">Jun 2027</t>
        </is>
      </c>
      <c r="B97" s="8">
        <f>SUMPRODUCT((Interest!$A$6:$A$19=B$79)*Interest!$G$6:$G$19*Interest!$M$6:$M$19^17)</f>
        <v>300060.6</v>
      </c>
      <c r="C97" s="8">
        <f>SUMPRODUCT((Interest!$A$6:$A$19=C$79)*Interest!$G$6:$G$19*Interest!$M$6:$M$19^17)</f>
        <v>135119.42</v>
      </c>
      <c r="D97" s="8">
        <f>SUMPRODUCT((Interest!$A$6:$A$19=D$79)*Interest!$G$6:$G$19*Interest!$M$6:$M$19^17)</f>
        <v>54751.59</v>
      </c>
      <c r="E97" s="8">
        <f>SUMPRODUCT((Interest!$A$6:$A$19=E$79)*Interest!$G$6:$G$19*Interest!$M$6:$M$19^17)</f>
        <v>16100.96</v>
      </c>
      <c r="F97" s="8">
        <f>SUMPRODUCT((Interest!$A$6:$A$19=F$79)*Interest!$G$6:$G$19*Interest!$M$6:$M$19^17)</f>
        <v>10331.19</v>
      </c>
      <c r="G97" s="8">
        <f>SUMPRODUCT((Interest!$A$6:$A$19=G$79)*Interest!$G$6:$G$19*Interest!$M$6:$M$19^17)</f>
        <v>12520.33</v>
      </c>
      <c r="H97" s="8">
        <f>SUMPRODUCT((Interest!$A$6:$A$19=H$79)*Interest!$G$6:$G$19*Interest!$M$6:$M$19^17)</f>
        <v>8376.93</v>
      </c>
      <c r="I97" s="8">
        <f>SUM(B97:H97)-SUM(B96:H96)</f>
        <v>2719.04</v>
      </c>
    </row>
    <row r="98">
      <c r="A98" t="inlineStr" s="7">
        <is>
          <t xml:space="preserve">Jul 2027</t>
        </is>
      </c>
      <c r="B98" s="8">
        <f>SUMPRODUCT((Interest!$A$6:$A$19=B$79)*Interest!$G$6:$G$19*Interest!$M$6:$M$19^18)</f>
        <v>301738.1</v>
      </c>
      <c r="C98" s="8">
        <f>SUMPRODUCT((Interest!$A$6:$A$19=C$79)*Interest!$G$6:$G$19*Interest!$M$6:$M$19^18)</f>
        <v>135740.39</v>
      </c>
      <c r="D98" s="8">
        <f>SUMPRODUCT((Interest!$A$6:$A$19=D$79)*Interest!$G$6:$G$19*Interest!$M$6:$M$19^18)</f>
        <v>55046.05</v>
      </c>
      <c r="E98" s="8">
        <f>SUMPRODUCT((Interest!$A$6:$A$19=E$79)*Interest!$G$6:$G$19*Interest!$M$6:$M$19^18)</f>
        <v>16168.18</v>
      </c>
      <c r="F98" s="8">
        <f>SUMPRODUCT((Interest!$A$6:$A$19=F$79)*Interest!$G$6:$G$19*Interest!$M$6:$M$19^18)</f>
        <v>10351.01</v>
      </c>
      <c r="G98" s="8">
        <f>SUMPRODUCT((Interest!$A$6:$A$19=G$79)*Interest!$G$6:$G$19*Interest!$M$6:$M$19^18)</f>
        <v>12551.63</v>
      </c>
      <c r="H98" s="8">
        <f>SUMPRODUCT((Interest!$A$6:$A$19=H$79)*Interest!$G$6:$G$19*Interest!$M$6:$M$19^18)</f>
        <v>8399.64</v>
      </c>
      <c r="I98" s="8">
        <f>SUM(B98:H98)-SUM(B97:H97)</f>
        <v>2733.99</v>
      </c>
    </row>
    <row r="99">
      <c r="A99" t="inlineStr" s="7">
        <is>
          <t xml:space="preserve">Aug 2027</t>
        </is>
      </c>
      <c r="B99" s="8">
        <f>SUMPRODUCT((Interest!$A$6:$A$19=B$79)*Interest!$G$6:$G$19*Interest!$M$6:$M$19^19)</f>
        <v>303425.49</v>
      </c>
      <c r="C99" s="8">
        <f>SUMPRODUCT((Interest!$A$6:$A$19=C$79)*Interest!$G$6:$G$19*Interest!$M$6:$M$19^19)</f>
        <v>136364.31</v>
      </c>
      <c r="D99" s="8">
        <f>SUMPRODUCT((Interest!$A$6:$A$19=D$79)*Interest!$G$6:$G$19*Interest!$M$6:$M$19^19)</f>
        <v>55342.24</v>
      </c>
      <c r="E99" s="8">
        <f>SUMPRODUCT((Interest!$A$6:$A$19=E$79)*Interest!$G$6:$G$19*Interest!$M$6:$M$19^19)</f>
        <v>16235.68</v>
      </c>
      <c r="F99" s="8">
        <f>SUMPRODUCT((Interest!$A$6:$A$19=F$79)*Interest!$G$6:$G$19*Interest!$M$6:$M$19^19)</f>
        <v>10370.87</v>
      </c>
      <c r="G99" s="8">
        <f>SUMPRODUCT((Interest!$A$6:$A$19=G$79)*Interest!$G$6:$G$19*Interest!$M$6:$M$19^19)</f>
        <v>12583.01</v>
      </c>
      <c r="H99" s="8">
        <f>SUMPRODUCT((Interest!$A$6:$A$19=H$79)*Interest!$G$6:$G$19*Interest!$M$6:$M$19^19)</f>
        <v>8422.42</v>
      </c>
      <c r="I99" s="8">
        <f>SUM(B99:H99)-SUM(B98:H98)</f>
        <v>2749.03</v>
      </c>
    </row>
    <row r="100">
      <c r="A100" t="inlineStr" s="7">
        <is>
          <t xml:space="preserve">Sep 2027</t>
        </is>
      </c>
      <c r="B100" s="8">
        <f>SUMPRODUCT((Interest!$A$6:$A$19=B$79)*Interest!$G$6:$G$19*Interest!$M$6:$M$19^20)</f>
        <v>305122.85</v>
      </c>
      <c r="C100" s="8">
        <f>SUMPRODUCT((Interest!$A$6:$A$19=C$79)*Interest!$G$6:$G$19*Interest!$M$6:$M$19^20)</f>
        <v>136991.19</v>
      </c>
      <c r="D100" s="8">
        <f>SUMPRODUCT((Interest!$A$6:$A$19=D$79)*Interest!$G$6:$G$19*Interest!$M$6:$M$19^20)</f>
        <v>55640.17</v>
      </c>
      <c r="E100" s="8">
        <f>SUMPRODUCT((Interest!$A$6:$A$19=E$79)*Interest!$G$6:$G$19*Interest!$M$6:$M$19^20)</f>
        <v>16303.47</v>
      </c>
      <c r="F100" s="8">
        <f>SUMPRODUCT((Interest!$A$6:$A$19=F$79)*Interest!$G$6:$G$19*Interest!$M$6:$M$19^20)</f>
        <v>10390.76</v>
      </c>
      <c r="G100" s="8">
        <f>SUMPRODUCT((Interest!$A$6:$A$19=G$79)*Interest!$G$6:$G$19*Interest!$M$6:$M$19^20)</f>
        <v>12614.47</v>
      </c>
      <c r="H100" s="8">
        <f>SUMPRODUCT((Interest!$A$6:$A$19=H$79)*Interest!$G$6:$G$19*Interest!$M$6:$M$19^20)</f>
        <v>8445.26</v>
      </c>
      <c r="I100" s="8">
        <f>SUM(B100:H100)-SUM(B99:H99)</f>
        <v>2764.15</v>
      </c>
    </row>
    <row r="101">
      <c r="A101" t="inlineStr" s="7">
        <is>
          <t xml:space="preserve">Oct 2027</t>
        </is>
      </c>
      <c r="B101" s="8">
        <f>SUMPRODUCT((Interest!$A$6:$A$19=B$79)*Interest!$G$6:$G$19*Interest!$M$6:$M$19^21)</f>
        <v>306830.24</v>
      </c>
      <c r="C101" s="8">
        <f>SUMPRODUCT((Interest!$A$6:$A$19=C$79)*Interest!$G$6:$G$19*Interest!$M$6:$M$19^21)</f>
        <v>137621.04</v>
      </c>
      <c r="D101" s="8">
        <f>SUMPRODUCT((Interest!$A$6:$A$19=D$79)*Interest!$G$6:$G$19*Interest!$M$6:$M$19^21)</f>
        <v>55939.85</v>
      </c>
      <c r="E101" s="8">
        <f>SUMPRODUCT((Interest!$A$6:$A$19=E$79)*Interest!$G$6:$G$19*Interest!$M$6:$M$19^21)</f>
        <v>16371.54</v>
      </c>
      <c r="F101" s="8">
        <f>SUMPRODUCT((Interest!$A$6:$A$19=F$79)*Interest!$G$6:$G$19*Interest!$M$6:$M$19^21)</f>
        <v>10410.7</v>
      </c>
      <c r="G101" s="8">
        <f>SUMPRODUCT((Interest!$A$6:$A$19=G$79)*Interest!$G$6:$G$19*Interest!$M$6:$M$19^21)</f>
        <v>12646.0</v>
      </c>
      <c r="H101" s="8">
        <f>SUMPRODUCT((Interest!$A$6:$A$19=H$79)*Interest!$G$6:$G$19*Interest!$M$6:$M$19^21)</f>
        <v>8468.17</v>
      </c>
      <c r="I101" s="8">
        <f>SUM(B101:H101)-SUM(B100:H100)</f>
        <v>2779.36</v>
      </c>
    </row>
    <row r="102">
      <c r="A102" t="inlineStr" s="7">
        <is>
          <t xml:space="preserve">Nov 2027</t>
        </is>
      </c>
      <c r="B102" s="8">
        <f>SUMPRODUCT((Interest!$A$6:$A$19=B$79)*Interest!$G$6:$G$19*Interest!$M$6:$M$19^22)</f>
        <v>308547.73</v>
      </c>
      <c r="C102" s="8">
        <f>SUMPRODUCT((Interest!$A$6:$A$19=C$79)*Interest!$G$6:$G$19*Interest!$M$6:$M$19^22)</f>
        <v>138253.89</v>
      </c>
      <c r="D102" s="8">
        <f>SUMPRODUCT((Interest!$A$6:$A$19=D$79)*Interest!$G$6:$G$19*Interest!$M$6:$M$19^22)</f>
        <v>56241.29</v>
      </c>
      <c r="E102" s="8">
        <f>SUMPRODUCT((Interest!$A$6:$A$19=E$79)*Interest!$G$6:$G$19*Interest!$M$6:$M$19^22)</f>
        <v>16439.89</v>
      </c>
      <c r="F102" s="8">
        <f>SUMPRODUCT((Interest!$A$6:$A$19=F$79)*Interest!$G$6:$G$19*Interest!$M$6:$M$19^22)</f>
        <v>10430.67</v>
      </c>
      <c r="G102" s="8">
        <f>SUMPRODUCT((Interest!$A$6:$A$19=G$79)*Interest!$G$6:$G$19*Interest!$M$6:$M$19^22)</f>
        <v>12677.62</v>
      </c>
      <c r="H102" s="8">
        <f>SUMPRODUCT((Interest!$A$6:$A$19=H$79)*Interest!$G$6:$G$19*Interest!$M$6:$M$19^22)</f>
        <v>8491.13</v>
      </c>
      <c r="I102" s="8">
        <f>SUM(B102:H102)-SUM(B101:H101)</f>
        <v>2794.67</v>
      </c>
    </row>
    <row r="103">
      <c r="A103" t="inlineStr" s="7">
        <is>
          <t xml:space="preserve">Dec 2027</t>
        </is>
      </c>
      <c r="B103" s="8">
        <f>SUMPRODUCT((Interest!$A$6:$A$19=B$79)*Interest!$G$6:$G$19*Interest!$M$6:$M$19^23)</f>
        <v>310275.36</v>
      </c>
      <c r="C103" s="8">
        <f>SUMPRODUCT((Interest!$A$6:$A$19=C$79)*Interest!$G$6:$G$19*Interest!$M$6:$M$19^23)</f>
        <v>138889.73</v>
      </c>
      <c r="D103" s="8">
        <f>SUMPRODUCT((Interest!$A$6:$A$19=D$79)*Interest!$G$6:$G$19*Interest!$M$6:$M$19^23)</f>
        <v>56544.5</v>
      </c>
      <c r="E103" s="8">
        <f>SUMPRODUCT((Interest!$A$6:$A$19=E$79)*Interest!$G$6:$G$19*Interest!$M$6:$M$19^23)</f>
        <v>16508.53</v>
      </c>
      <c r="F103" s="8">
        <f>SUMPRODUCT((Interest!$A$6:$A$19=F$79)*Interest!$G$6:$G$19*Interest!$M$6:$M$19^23)</f>
        <v>10450.68</v>
      </c>
      <c r="G103" s="8">
        <f>SUMPRODUCT((Interest!$A$6:$A$19=G$79)*Interest!$G$6:$G$19*Interest!$M$6:$M$19^23)</f>
        <v>12709.31</v>
      </c>
      <c r="H103" s="8">
        <f>SUMPRODUCT((Interest!$A$6:$A$19=H$79)*Interest!$G$6:$G$19*Interest!$M$6:$M$19^23)</f>
        <v>8514.16</v>
      </c>
      <c r="I103" s="8">
        <f>SUM(B103:H103)-SUM(B102:H102)</f>
        <v>2810.06</v>
      </c>
    </row>
    <row r="105" ht="22" customHeight="1">
      <c r="A105" t="inlineStr" s="24">
        <is>
          <t xml:space="preserve">🗂 Monthly Interest Earned by Bank (auto)</t>
        </is>
      </c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</row>
    <row r="106">
      <c r="A106" t="inlineStr" s="22">
        <is>
          <t xml:space="preserve">Month</t>
        </is>
      </c>
      <c r="B106" t="inlineStr" s="22">
        <is>
          <t xml:space="preserve">Maya</t>
        </is>
      </c>
      <c r="C106" t="inlineStr" s="22">
        <is>
          <t xml:space="preserve">UNO</t>
        </is>
      </c>
      <c r="D106" t="inlineStr" s="22">
        <is>
          <t xml:space="preserve">Tonik</t>
        </is>
      </c>
      <c r="E106" t="inlineStr" s="22">
        <is>
          <t xml:space="preserve">Banko</t>
        </is>
      </c>
      <c r="F106" t="inlineStr" s="22">
        <is>
          <t xml:space="preserve">CIMB</t>
        </is>
      </c>
      <c r="G106" t="inlineStr" s="22">
        <is>
          <t xml:space="preserve">GoTyme</t>
        </is>
      </c>
      <c r="H106" t="inlineStr" s="22">
        <is>
          <t xml:space="preserve">Maribank</t>
        </is>
      </c>
    </row>
    <row r="107">
      <c r="A107" t="inlineStr" s="7">
        <is>
          <t xml:space="preserve">Jan 2026</t>
        </is>
      </c>
      <c r="B107" s="8">
        <v>0</v>
      </c>
      <c r="C107" s="8">
        <v>0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</row>
    <row r="108">
      <c r="A108" t="inlineStr" s="7">
        <is>
          <t xml:space="preserve">Feb 2026</t>
        </is>
      </c>
      <c r="B108" s="8">
        <f>B81-B80</f>
        <v>1518.28</v>
      </c>
      <c r="C108" s="8">
        <f>C81-C80</f>
        <v>573.02</v>
      </c>
      <c r="D108" s="8">
        <f>D81-D80</f>
        <v>266.67</v>
      </c>
      <c r="E108" s="8">
        <f>E81-E80</f>
        <v>62.63</v>
      </c>
      <c r="F108" s="8">
        <f>F81-F80</f>
        <v>19.18</v>
      </c>
      <c r="G108" s="8">
        <f>G81-G80</f>
        <v>30.0</v>
      </c>
      <c r="H108" s="8">
        <f>H81-H80</f>
        <v>21.7</v>
      </c>
    </row>
    <row r="109">
      <c r="A109" t="inlineStr" s="7">
        <is>
          <t xml:space="preserve">Mar 2026</t>
        </is>
      </c>
      <c r="B109" s="8">
        <f>B82-B81</f>
        <v>1527.19</v>
      </c>
      <c r="C109" s="8">
        <f>C82-C81</f>
        <v>575.73</v>
      </c>
      <c r="D109" s="8">
        <f>D82-D81</f>
        <v>268.22</v>
      </c>
      <c r="E109" s="8">
        <f>E82-E81</f>
        <v>62.89</v>
      </c>
      <c r="F109" s="8">
        <f>F82-F81</f>
        <v>19.22</v>
      </c>
      <c r="G109" s="8">
        <f>G82-G81</f>
        <v>30.07</v>
      </c>
      <c r="H109" s="8">
        <f>H82-H81</f>
        <v>21.75</v>
      </c>
    </row>
    <row r="110">
      <c r="A110" t="inlineStr" s="7">
        <is>
          <t xml:space="preserve">Apr 2026</t>
        </is>
      </c>
      <c r="B110" s="8">
        <f>B83-B82</f>
        <v>1536.15</v>
      </c>
      <c r="C110" s="8">
        <f>C83-C82</f>
        <v>578.46</v>
      </c>
      <c r="D110" s="8">
        <f>D83-D82</f>
        <v>269.79</v>
      </c>
      <c r="E110" s="8">
        <f>E83-E82</f>
        <v>63.15</v>
      </c>
      <c r="F110" s="8">
        <f>F83-F82</f>
        <v>19.26</v>
      </c>
      <c r="G110" s="8">
        <f>G83-G82</f>
        <v>30.15</v>
      </c>
      <c r="H110" s="8">
        <f>H83-H82</f>
        <v>21.81</v>
      </c>
    </row>
    <row r="111">
      <c r="A111" t="inlineStr" s="7">
        <is>
          <t xml:space="preserve">May 2026</t>
        </is>
      </c>
      <c r="B111" s="8">
        <f>B84-B83</f>
        <v>1545.16</v>
      </c>
      <c r="C111" s="8">
        <f>C84-C83</f>
        <v>581.2</v>
      </c>
      <c r="D111" s="8">
        <f>D84-D83</f>
        <v>271.36</v>
      </c>
      <c r="E111" s="8">
        <f>E84-E83</f>
        <v>63.41</v>
      </c>
      <c r="F111" s="8">
        <f>F84-F83</f>
        <v>19.3</v>
      </c>
      <c r="G111" s="8">
        <f>G84-G83</f>
        <v>30.23</v>
      </c>
      <c r="H111" s="8">
        <f>H84-H83</f>
        <v>21.87</v>
      </c>
    </row>
    <row r="112">
      <c r="A112" t="inlineStr" s="7">
        <is>
          <t xml:space="preserve">Jun 2026</t>
        </is>
      </c>
      <c r="B112" s="8">
        <f>B85-B84</f>
        <v>1554.24</v>
      </c>
      <c r="C112" s="8">
        <f>C85-C84</f>
        <v>583.95</v>
      </c>
      <c r="D112" s="8">
        <f>D85-D84</f>
        <v>272.95</v>
      </c>
      <c r="E112" s="8">
        <f>E85-E84</f>
        <v>63.68</v>
      </c>
      <c r="F112" s="8">
        <f>F85-F84</f>
        <v>19.33</v>
      </c>
      <c r="G112" s="8">
        <f>G85-G84</f>
        <v>30.3</v>
      </c>
      <c r="H112" s="8">
        <f>H85-H84</f>
        <v>21.93</v>
      </c>
    </row>
    <row r="113">
      <c r="A113" t="inlineStr" s="7">
        <is>
          <t xml:space="preserve">Jul 2026</t>
        </is>
      </c>
      <c r="B113" s="8">
        <f>B86-B85</f>
        <v>1563.37</v>
      </c>
      <c r="C113" s="8">
        <f>C86-C85</f>
        <v>586.72</v>
      </c>
      <c r="D113" s="8">
        <f>D86-D85</f>
        <v>274.54</v>
      </c>
      <c r="E113" s="8">
        <f>E86-E85</f>
        <v>63.94</v>
      </c>
      <c r="F113" s="8">
        <f>F86-F85</f>
        <v>19.37</v>
      </c>
      <c r="G113" s="8">
        <f>G86-G85</f>
        <v>30.38</v>
      </c>
      <c r="H113" s="8">
        <f>H86-H85</f>
        <v>21.99</v>
      </c>
    </row>
    <row r="114">
      <c r="A114" t="inlineStr" s="7">
        <is>
          <t xml:space="preserve">Aug 2026</t>
        </is>
      </c>
      <c r="B114" s="8">
        <f>B87-B86</f>
        <v>1572.55</v>
      </c>
      <c r="C114" s="8">
        <f>C87-C86</f>
        <v>589.5</v>
      </c>
      <c r="D114" s="8">
        <f>D87-D86</f>
        <v>276.15</v>
      </c>
      <c r="E114" s="8">
        <f>E87-E86</f>
        <v>64.21</v>
      </c>
      <c r="F114" s="8">
        <f>F87-F86</f>
        <v>19.41</v>
      </c>
      <c r="G114" s="8">
        <f>G87-G86</f>
        <v>30.45</v>
      </c>
      <c r="H114" s="8">
        <f>H87-H86</f>
        <v>22.05</v>
      </c>
    </row>
    <row r="115">
      <c r="A115" t="inlineStr" s="7">
        <is>
          <t xml:space="preserve">Sep 2026</t>
        </is>
      </c>
      <c r="B115" s="8">
        <f>B88-B87</f>
        <v>1581.8</v>
      </c>
      <c r="C115" s="8">
        <f>C88-C87</f>
        <v>592.29</v>
      </c>
      <c r="D115" s="8">
        <f>D88-D87</f>
        <v>277.76</v>
      </c>
      <c r="E115" s="8">
        <f>E88-E87</f>
        <v>64.48</v>
      </c>
      <c r="F115" s="8">
        <f>F88-F87</f>
        <v>19.44</v>
      </c>
      <c r="G115" s="8">
        <f>G88-G87</f>
        <v>30.53</v>
      </c>
      <c r="H115" s="8">
        <f>H88-H87</f>
        <v>22.11</v>
      </c>
    </row>
    <row r="116">
      <c r="A116" t="inlineStr" s="7">
        <is>
          <t xml:space="preserve">Oct 2026</t>
        </is>
      </c>
      <c r="B116" s="8">
        <f>B89-B88</f>
        <v>1591.1</v>
      </c>
      <c r="C116" s="8">
        <f>C89-C88</f>
        <v>595.1</v>
      </c>
      <c r="D116" s="8">
        <f>D89-D88</f>
        <v>279.38</v>
      </c>
      <c r="E116" s="8">
        <f>E89-E88</f>
        <v>64.75</v>
      </c>
      <c r="F116" s="8">
        <f>F89-F88</f>
        <v>19.48</v>
      </c>
      <c r="G116" s="8">
        <f>G89-G88</f>
        <v>30.61</v>
      </c>
      <c r="H116" s="8">
        <f>H89-H88</f>
        <v>22.17</v>
      </c>
    </row>
    <row r="117">
      <c r="A117" t="inlineStr" s="7">
        <is>
          <t xml:space="preserve">Nov 2026</t>
        </is>
      </c>
      <c r="B117" s="8">
        <f>B90-B89</f>
        <v>1600.46</v>
      </c>
      <c r="C117" s="8">
        <f>C90-C89</f>
        <v>597.92</v>
      </c>
      <c r="D117" s="8">
        <f>D90-D89</f>
        <v>281.02</v>
      </c>
      <c r="E117" s="8">
        <f>E90-E89</f>
        <v>65.02</v>
      </c>
      <c r="F117" s="8">
        <f>F90-F89</f>
        <v>19.52</v>
      </c>
      <c r="G117" s="8">
        <f>G90-G89</f>
        <v>30.68</v>
      </c>
      <c r="H117" s="8">
        <f>H90-H89</f>
        <v>22.23</v>
      </c>
    </row>
    <row r="118">
      <c r="A118" t="inlineStr" s="7">
        <is>
          <t xml:space="preserve">Dec 2026</t>
        </is>
      </c>
      <c r="B118" s="8">
        <f>B91-B90</f>
        <v>1609.88</v>
      </c>
      <c r="C118" s="8">
        <f>C91-C90</f>
        <v>600.75</v>
      </c>
      <c r="D118" s="8">
        <f>D91-D90</f>
        <v>282.66</v>
      </c>
      <c r="E118" s="8">
        <f>E91-E90</f>
        <v>65.29</v>
      </c>
      <c r="F118" s="8">
        <f>F91-F90</f>
        <v>19.56</v>
      </c>
      <c r="G118" s="8">
        <f>G91-G90</f>
        <v>30.76</v>
      </c>
      <c r="H118" s="8">
        <f>H91-H90</f>
        <v>22.29</v>
      </c>
    </row>
    <row r="119">
      <c r="A119" t="inlineStr" s="7">
        <is>
          <t xml:space="preserve">Jan 2027</t>
        </is>
      </c>
      <c r="B119" s="8">
        <f>B92-B91</f>
        <v>1619.36</v>
      </c>
      <c r="C119" s="8">
        <f>C92-C91</f>
        <v>603.6</v>
      </c>
      <c r="D119" s="8">
        <f>D92-D91</f>
        <v>284.32</v>
      </c>
      <c r="E119" s="8">
        <f>E92-E91</f>
        <v>65.56</v>
      </c>
      <c r="F119" s="8">
        <f>F92-F91</f>
        <v>19.59</v>
      </c>
      <c r="G119" s="8">
        <f>G92-G91</f>
        <v>30.84</v>
      </c>
      <c r="H119" s="8">
        <f>H92-H91</f>
        <v>22.35</v>
      </c>
    </row>
    <row r="120">
      <c r="A120" t="inlineStr" s="7">
        <is>
          <t xml:space="preserve">Feb 2027</t>
        </is>
      </c>
      <c r="B120" s="8">
        <f>B93-B92</f>
        <v>1628.9</v>
      </c>
      <c r="C120" s="8">
        <f>C93-C92</f>
        <v>606.46</v>
      </c>
      <c r="D120" s="8">
        <f>D93-D92</f>
        <v>285.98</v>
      </c>
      <c r="E120" s="8">
        <f>E93-E92</f>
        <v>65.84</v>
      </c>
      <c r="F120" s="8">
        <f>F93-F92</f>
        <v>19.63</v>
      </c>
      <c r="G120" s="8">
        <f>G93-G92</f>
        <v>30.91</v>
      </c>
      <c r="H120" s="8">
        <f>H93-H92</f>
        <v>22.41</v>
      </c>
    </row>
    <row r="121">
      <c r="A121" t="inlineStr" s="7">
        <is>
          <t xml:space="preserve">Mar 2027</t>
        </is>
      </c>
      <c r="B121" s="8">
        <f>B94-B93</f>
        <v>1638.49</v>
      </c>
      <c r="C121" s="8">
        <f>C94-C93</f>
        <v>609.33</v>
      </c>
      <c r="D121" s="8">
        <f>D94-D93</f>
        <v>287.66</v>
      </c>
      <c r="E121" s="8">
        <f>E94-E93</f>
        <v>66.11</v>
      </c>
      <c r="F121" s="8">
        <f>F94-F93</f>
        <v>19.67</v>
      </c>
      <c r="G121" s="8">
        <f>G94-G93</f>
        <v>30.99</v>
      </c>
      <c r="H121" s="8">
        <f>H94-H93</f>
        <v>22.47</v>
      </c>
    </row>
    <row r="122">
      <c r="A122" t="inlineStr" s="7">
        <is>
          <t xml:space="preserve">Apr 2027</t>
        </is>
      </c>
      <c r="B122" s="8">
        <f>B95-B94</f>
        <v>1648.15</v>
      </c>
      <c r="C122" s="8">
        <f>C95-C94</f>
        <v>612.22</v>
      </c>
      <c r="D122" s="8">
        <f>D95-D94</f>
        <v>289.34</v>
      </c>
      <c r="E122" s="8">
        <f>E95-E94</f>
        <v>66.39</v>
      </c>
      <c r="F122" s="8">
        <f>F95-F94</f>
        <v>19.71</v>
      </c>
      <c r="G122" s="8">
        <f>G95-G94</f>
        <v>31.07</v>
      </c>
      <c r="H122" s="8">
        <f>H95-H94</f>
        <v>22.53</v>
      </c>
    </row>
    <row r="123">
      <c r="A123" t="inlineStr" s="7">
        <is>
          <t xml:space="preserve">May 2027</t>
        </is>
      </c>
      <c r="B123" s="8">
        <f>B96-B95</f>
        <v>1657.87</v>
      </c>
      <c r="C123" s="8">
        <f>C96-C95</f>
        <v>615.13</v>
      </c>
      <c r="D123" s="8">
        <f>D96-D95</f>
        <v>291.04</v>
      </c>
      <c r="E123" s="8">
        <f>E96-E95</f>
        <v>66.66</v>
      </c>
      <c r="F123" s="8">
        <f>F96-F95</f>
        <v>19.74</v>
      </c>
      <c r="G123" s="8">
        <f>G96-G95</f>
        <v>31.14</v>
      </c>
      <c r="H123" s="8">
        <f>H96-H95</f>
        <v>22.59</v>
      </c>
    </row>
    <row r="124">
      <c r="A124" t="inlineStr" s="7">
        <is>
          <t xml:space="preserve">Jun 2027</t>
        </is>
      </c>
      <c r="B124" s="8">
        <f>B97-B96</f>
        <v>1667.65</v>
      </c>
      <c r="C124" s="8">
        <f>C97-C96</f>
        <v>618.04</v>
      </c>
      <c r="D124" s="8">
        <f>D97-D96</f>
        <v>292.75</v>
      </c>
      <c r="E124" s="8">
        <f>E97-E96</f>
        <v>66.94</v>
      </c>
      <c r="F124" s="8">
        <f>F97-F96</f>
        <v>19.78</v>
      </c>
      <c r="G124" s="8">
        <f>G97-G96</f>
        <v>31.22</v>
      </c>
      <c r="H124" s="8">
        <f>H97-H96</f>
        <v>22.66</v>
      </c>
    </row>
    <row r="125">
      <c r="A125" t="inlineStr" s="7">
        <is>
          <t xml:space="preserve">Jul 2027</t>
        </is>
      </c>
      <c r="B125" s="8">
        <f>B98-B97</f>
        <v>1677.49</v>
      </c>
      <c r="C125" s="8">
        <f>C98-C97</f>
        <v>620.97</v>
      </c>
      <c r="D125" s="8">
        <f>D98-D97</f>
        <v>294.46</v>
      </c>
      <c r="E125" s="8">
        <f>E98-E97</f>
        <v>67.22</v>
      </c>
      <c r="F125" s="8">
        <f>F98-F97</f>
        <v>19.82</v>
      </c>
      <c r="G125" s="8">
        <f>G98-G97</f>
        <v>31.3</v>
      </c>
      <c r="H125" s="8">
        <f>H98-H97</f>
        <v>22.72</v>
      </c>
    </row>
    <row r="126">
      <c r="A126" t="inlineStr" s="7">
        <is>
          <t xml:space="preserve">Aug 2027</t>
        </is>
      </c>
      <c r="B126" s="8">
        <f>B99-B98</f>
        <v>1687.4</v>
      </c>
      <c r="C126" s="8">
        <f>C99-C98</f>
        <v>623.92</v>
      </c>
      <c r="D126" s="8">
        <f>D99-D98</f>
        <v>296.19</v>
      </c>
      <c r="E126" s="8">
        <f>E99-E98</f>
        <v>67.5</v>
      </c>
      <c r="F126" s="8">
        <f>F99-F98</f>
        <v>19.86</v>
      </c>
      <c r="G126" s="8">
        <f>G99-G98</f>
        <v>31.38</v>
      </c>
      <c r="H126" s="8">
        <f>H99-H98</f>
        <v>22.78</v>
      </c>
    </row>
    <row r="127">
      <c r="A127" t="inlineStr" s="7">
        <is>
          <t xml:space="preserve">Sep 2027</t>
        </is>
      </c>
      <c r="B127" s="8">
        <f>B100-B99</f>
        <v>1697.36</v>
      </c>
      <c r="C127" s="8">
        <f>C100-C99</f>
        <v>626.88</v>
      </c>
      <c r="D127" s="8">
        <f>D100-D99</f>
        <v>297.93</v>
      </c>
      <c r="E127" s="8">
        <f>E100-E99</f>
        <v>67.79</v>
      </c>
      <c r="F127" s="8">
        <f>F100-F99</f>
        <v>19.9</v>
      </c>
      <c r="G127" s="8">
        <f>G100-G99</f>
        <v>31.46</v>
      </c>
      <c r="H127" s="8">
        <f>H100-H99</f>
        <v>22.84</v>
      </c>
    </row>
    <row r="128">
      <c r="A128" t="inlineStr" s="7">
        <is>
          <t xml:space="preserve">Oct 2027</t>
        </is>
      </c>
      <c r="B128" s="8">
        <f>B101-B100</f>
        <v>1707.39</v>
      </c>
      <c r="C128" s="8">
        <f>C101-C100</f>
        <v>629.85</v>
      </c>
      <c r="D128" s="8">
        <f>D101-D100</f>
        <v>299.68</v>
      </c>
      <c r="E128" s="8">
        <f>E101-E100</f>
        <v>68.07</v>
      </c>
      <c r="F128" s="8">
        <f>F101-F100</f>
        <v>19.93</v>
      </c>
      <c r="G128" s="8">
        <f>G101-G100</f>
        <v>31.54</v>
      </c>
      <c r="H128" s="8">
        <f>H101-H100</f>
        <v>22.9</v>
      </c>
    </row>
    <row r="129">
      <c r="A129" t="inlineStr" s="7">
        <is>
          <t xml:space="preserve">Nov 2027</t>
        </is>
      </c>
      <c r="B129" s="8">
        <f>B102-B101</f>
        <v>1717.48</v>
      </c>
      <c r="C129" s="8">
        <f>C102-C101</f>
        <v>632.84</v>
      </c>
      <c r="D129" s="8">
        <f>D102-D101</f>
        <v>301.44</v>
      </c>
      <c r="E129" s="8">
        <f>E102-E101</f>
        <v>68.35</v>
      </c>
      <c r="F129" s="8">
        <f>F102-F101</f>
        <v>19.97</v>
      </c>
      <c r="G129" s="8">
        <f>G102-G101</f>
        <v>31.62</v>
      </c>
      <c r="H129" s="8">
        <f>H102-H101</f>
        <v>22.96</v>
      </c>
    </row>
    <row r="130">
      <c r="A130" t="inlineStr" s="7">
        <is>
          <t xml:space="preserve">Dec 2027</t>
        </is>
      </c>
      <c r="B130" s="8">
        <f>B103-B102</f>
        <v>1727.64</v>
      </c>
      <c r="C130" s="8">
        <f>C103-C102</f>
        <v>635.84</v>
      </c>
      <c r="D130" s="8">
        <f>D103-D102</f>
        <v>303.21</v>
      </c>
      <c r="E130" s="8">
        <f>E103-E102</f>
        <v>68.64</v>
      </c>
      <c r="F130" s="8">
        <f>F103-F102</f>
        <v>20.01</v>
      </c>
      <c r="G130" s="8">
        <f>G103-G102</f>
        <v>31.69</v>
      </c>
      <c r="H130" s="8">
        <f>H103-H102</f>
        <v>23.03</v>
      </c>
    </row>
  </sheetData>
  <mergeCells count="29">
    <mergeCell ref="A1:M1"/>
    <mergeCell ref="A2:B2"/>
    <mergeCell ref="C2:D2"/>
    <mergeCell ref="E2:F2"/>
    <mergeCell ref="G2:H2"/>
    <mergeCell ref="I2:J2"/>
    <mergeCell ref="A3:M3"/>
    <mergeCell ref="A4:H4"/>
    <mergeCell ref="I4:M4"/>
    <mergeCell ref="A5:D5"/>
    <mergeCell ref="E5:H5"/>
    <mergeCell ref="A6:D6"/>
    <mergeCell ref="E6:H6"/>
    <mergeCell ref="A7:D7"/>
    <mergeCell ref="E7:H7"/>
    <mergeCell ref="A8:D8"/>
    <mergeCell ref="E8:H8"/>
    <mergeCell ref="A10:M10"/>
    <mergeCell ref="A11:D11"/>
    <mergeCell ref="E11:H11"/>
    <mergeCell ref="A12:D12"/>
    <mergeCell ref="E12:H12"/>
    <mergeCell ref="A13:D13"/>
    <mergeCell ref="E13:H13"/>
    <mergeCell ref="A15:M15"/>
    <mergeCell ref="A27:M27"/>
    <mergeCell ref="A51:M51"/>
    <mergeCell ref="A77:M77"/>
    <mergeCell ref="A105:M105"/>
  </mergeCells>
  <conditionalFormatting sqref="E13">
    <cfRule type="dataBar" priority="1">
      <dataBar>
        <cfvo type="num" val="0"/>
        <cfvo type="num" val="1"/>
        <color rgb="FF63C384"/>
      </dataBar>
    </cfRule>
  </conditionalFormatting>
  <hyperlinks>
    <hyperlink ref="A2:B2" location="Dashboard!A1" display="🏠 Dashboard"/>
    <hyperlink ref="C2:D2" location="Deposit!A1" display="➕ Deposit"/>
    <hyperlink ref="E2:F2" location="Transactions!A1" display="🔄 Transactions"/>
    <hyperlink ref="G2:H2" location="Balance!A1" display="💼 Balance"/>
    <hyperlink ref="I2:J2" location="Interest!A1" display="📈 Interest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ySplit="5" topLeftCell="A6" activePane="bottomLeft" state="frozen"/>
      <selection pane="bottomLeft" activeCell="A6" sqref="A6"/>
    </sheetView>
  </sheetViews>
  <sheetFormatPr defaultRowHeight="15"/>
  <cols>
    <col min="1" max="1" width="13" style="20" customWidth="1"/>
    <col min="2" max="2" width="12" style="21" customWidth="1"/>
    <col min="3" max="3" width="24" style="21" customWidth="1"/>
    <col min="4" max="4" width="15" style="19" customWidth="1"/>
    <col min="5" max="5" width="28" style="21" customWidth="1"/>
    <col min="6" max="6" width="10" customWidth="1"/>
    <col min="7" max="7" width="10" customWidth="1"/>
    <col min="8" max="8" width="10" customWidth="1"/>
    <col min="9" max="9" width="12" customWidth="1"/>
    <col min="10" max="10" width="12" customWidth="1"/>
    <col min="11" max="11" width="12" customWidth="1"/>
    <col min="12" max="12" width="12" customWidth="1"/>
    <col min="13" max="13" width="12" customWidth="1"/>
  </cols>
  <sheetData>
    <row r="1" ht="30" customHeight="1">
      <c r="A1" t="inlineStr" s="1">
        <is>
          <t xml:space="preserve">💰 Digital Bank Savings Tracker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4" customHeight="1">
      <c r="A2" t="inlineStr" s="2">
        <is>
          <t xml:space="preserve">🏠 Dashboard</t>
        </is>
      </c>
      <c r="B2" s="2"/>
      <c r="C2" t="inlineStr" s="3">
        <is>
          <t xml:space="preserve">➕ Deposit</t>
        </is>
      </c>
      <c r="D2" s="3"/>
      <c r="E2" t="inlineStr" s="2">
        <is>
          <t xml:space="preserve">🔄 Transactions</t>
        </is>
      </c>
      <c r="F2" s="2"/>
      <c r="G2" t="inlineStr" s="2">
        <is>
          <t xml:space="preserve">💼 Balance</t>
        </is>
      </c>
      <c r="H2" s="2"/>
      <c r="I2" t="inlineStr" s="2">
        <is>
          <t xml:space="preserve">📈 Interest</t>
        </is>
      </c>
      <c r="J2" s="2"/>
      <c r="K2" s="2"/>
      <c r="L2" s="2"/>
      <c r="M2" s="2"/>
    </row>
    <row r="3" ht="22" customHeight="1">
      <c r="A3" t="inlineStr" s="5">
        <is>
          <t xml:space="preserve">Log every deposit here. Type a new deposit on the next empty row of the table — balances update automatically. Use the filter arrows to search.</t>
        </is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ht="22" customHeight="1">
      <c r="A4" t="inlineStr" s="4">
        <is>
          <t xml:space="preserve">➕ Add / View Deposits  (enter new deposits on the next empty row)</t>
        </is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ht="20" customHeight="1">
      <c r="A5" t="inlineStr" s="6">
        <is>
          <t xml:space="preserve">Date</t>
        </is>
      </c>
      <c r="B5" t="inlineStr" s="6">
        <is>
          <t xml:space="preserve">Bank</t>
        </is>
      </c>
      <c r="C5" t="inlineStr" s="6">
        <is>
          <t xml:space="preserve">Account</t>
        </is>
      </c>
      <c r="D5" t="inlineStr" s="6">
        <is>
          <t xml:space="preserve">Amount</t>
        </is>
      </c>
      <c r="E5" t="inlineStr" s="6">
        <is>
          <t xml:space="preserve">Notes</t>
        </is>
      </c>
      <c r="F5" s="6"/>
      <c r="G5" s="6"/>
      <c r="H5" s="6"/>
      <c r="I5" s="6"/>
      <c r="J5" s="6"/>
      <c r="K5" s="6"/>
      <c r="L5" s="6"/>
      <c r="M5" s="6"/>
    </row>
    <row r="6">
      <c r="A6" s="20">
        <v>46174</v>
      </c>
      <c r="B6" t="inlineStr" s="21">
        <is>
          <t xml:space="preserve">Maya</t>
        </is>
      </c>
      <c r="C6" t="inlineStr" s="21">
        <is>
          <t xml:space="preserve">Maya - Savings</t>
        </is>
      </c>
      <c r="D6" s="19">
        <v>50000</v>
      </c>
      <c r="E6" t="inlineStr" s="21">
        <is>
          <t xml:space="preserve">Opening balance (example)</t>
        </is>
      </c>
    </row>
    <row r="7">
      <c r="A7" s="20">
        <v>46174</v>
      </c>
      <c r="B7" t="inlineStr" s="21">
        <is>
          <t xml:space="preserve">Maya</t>
        </is>
      </c>
      <c r="C7" t="inlineStr" s="21">
        <is>
          <t xml:space="preserve">Maya - Time Deposit 1</t>
        </is>
      </c>
      <c r="D7" s="19">
        <v>100000</v>
      </c>
      <c r="E7" t="inlineStr" s="21">
        <is>
          <t xml:space="preserve">Opening balance (example)</t>
        </is>
      </c>
    </row>
    <row r="8">
      <c r="A8" s="20">
        <v>46174</v>
      </c>
      <c r="B8" t="inlineStr" s="21">
        <is>
          <t xml:space="preserve">Maya</t>
        </is>
      </c>
      <c r="C8" t="inlineStr" s="21">
        <is>
          <t xml:space="preserve">Maya - Time Deposit 2</t>
        </is>
      </c>
      <c r="D8" s="19">
        <v>100000</v>
      </c>
      <c r="E8" t="inlineStr" s="21">
        <is>
          <t xml:space="preserve">Opening balance (example)</t>
        </is>
      </c>
    </row>
    <row r="9">
      <c r="A9" s="20">
        <v>46174</v>
      </c>
      <c r="B9" t="inlineStr" s="21">
        <is>
          <t xml:space="preserve">Maya</t>
        </is>
      </c>
      <c r="C9" t="inlineStr" s="21">
        <is>
          <t xml:space="preserve">Maya - Personal Goal</t>
        </is>
      </c>
      <c r="D9" s="19">
        <v>25000</v>
      </c>
      <c r="E9" t="inlineStr" s="21">
        <is>
          <t xml:space="preserve">Opening balance (example)</t>
        </is>
      </c>
    </row>
    <row r="10">
      <c r="A10" s="20">
        <v>46174</v>
      </c>
      <c r="B10" t="inlineStr" s="21">
        <is>
          <t xml:space="preserve">UNO</t>
        </is>
      </c>
      <c r="C10" t="inlineStr" s="21">
        <is>
          <t xml:space="preserve">UNO - Digi Savings</t>
        </is>
      </c>
      <c r="D10" s="19">
        <v>20000</v>
      </c>
      <c r="E10" t="inlineStr" s="21">
        <is>
          <t xml:space="preserve">Opening balance (example)</t>
        </is>
      </c>
    </row>
    <row r="11">
      <c r="A11" s="20">
        <v>46174</v>
      </c>
      <c r="B11" t="inlineStr" s="21">
        <is>
          <t xml:space="preserve">UNO</t>
        </is>
      </c>
      <c r="C11" t="inlineStr" s="21">
        <is>
          <t xml:space="preserve">UNO - Time Deposit 1</t>
        </is>
      </c>
      <c r="D11" s="19">
        <v>50000</v>
      </c>
      <c r="E11" t="inlineStr" s="21">
        <is>
          <t xml:space="preserve">Opening balance (example)</t>
        </is>
      </c>
    </row>
    <row r="12">
      <c r="A12" s="20">
        <v>46174</v>
      </c>
      <c r="B12" t="inlineStr" s="21">
        <is>
          <t xml:space="preserve">UNO</t>
        </is>
      </c>
      <c r="C12" t="inlineStr" s="21">
        <is>
          <t xml:space="preserve">UNO - Time Deposit 2</t>
        </is>
      </c>
      <c r="D12" s="19">
        <v>50000</v>
      </c>
      <c r="E12" t="inlineStr" s="21">
        <is>
          <t xml:space="preserve">Opening balance (example)</t>
        </is>
      </c>
    </row>
    <row r="13">
      <c r="A13" s="20">
        <v>46174</v>
      </c>
      <c r="B13" t="inlineStr" s="21">
        <is>
          <t xml:space="preserve">Tonik</t>
        </is>
      </c>
      <c r="C13" t="inlineStr" s="21">
        <is>
          <t xml:space="preserve">Tonik - Stash 1</t>
        </is>
      </c>
      <c r="D13" s="19">
        <v>10000</v>
      </c>
      <c r="E13" t="inlineStr" s="21">
        <is>
          <t xml:space="preserve">Opening balance (example)</t>
        </is>
      </c>
    </row>
    <row r="14">
      <c r="A14" s="20">
        <v>46174</v>
      </c>
      <c r="B14" t="inlineStr" s="21">
        <is>
          <t xml:space="preserve">Tonik</t>
        </is>
      </c>
      <c r="C14" t="inlineStr" s="21">
        <is>
          <t xml:space="preserve">Tonik - Stash 2</t>
        </is>
      </c>
      <c r="D14" s="19">
        <v>10000</v>
      </c>
      <c r="E14" t="inlineStr" s="21">
        <is>
          <t xml:space="preserve">Opening balance (example)</t>
        </is>
      </c>
    </row>
    <row r="15">
      <c r="A15" s="20">
        <v>46174</v>
      </c>
      <c r="B15" t="inlineStr" s="21">
        <is>
          <t xml:space="preserve">Tonik</t>
        </is>
      </c>
      <c r="C15" t="inlineStr" s="21">
        <is>
          <t xml:space="preserve">Tonik - Time Deposit</t>
        </is>
      </c>
      <c r="D15" s="19">
        <v>30000</v>
      </c>
      <c r="E15" t="inlineStr" s="21">
        <is>
          <t xml:space="preserve">Opening balance (example)</t>
        </is>
      </c>
    </row>
    <row r="16">
      <c r="A16" s="20">
        <v>46174</v>
      </c>
      <c r="B16" t="inlineStr" s="21">
        <is>
          <t xml:space="preserve">Banko</t>
        </is>
      </c>
      <c r="C16" t="inlineStr" s="21">
        <is>
          <t xml:space="preserve">Banko - Savings</t>
        </is>
      </c>
      <c r="D16" s="19">
        <v>15000</v>
      </c>
      <c r="E16" t="inlineStr" s="21">
        <is>
          <t xml:space="preserve">Opening balance (example)</t>
        </is>
      </c>
    </row>
    <row r="17">
      <c r="A17" s="20">
        <v>46174</v>
      </c>
      <c r="B17" t="inlineStr" s="21">
        <is>
          <t xml:space="preserve">CIMB</t>
        </is>
      </c>
      <c r="C17" t="inlineStr" s="21">
        <is>
          <t xml:space="preserve">CIMB - Savings</t>
        </is>
      </c>
      <c r="D17" s="19">
        <v>10000</v>
      </c>
      <c r="E17" t="inlineStr" s="21">
        <is>
          <t xml:space="preserve">Opening balance (example)</t>
        </is>
      </c>
    </row>
    <row r="18">
      <c r="A18" s="20">
        <v>46174</v>
      </c>
      <c r="B18" t="inlineStr" s="21">
        <is>
          <t xml:space="preserve">GoTyme</t>
        </is>
      </c>
      <c r="C18" t="inlineStr" s="21">
        <is>
          <t xml:space="preserve">GoTyme - GoSave</t>
        </is>
      </c>
      <c r="D18" s="19">
        <v>12000</v>
      </c>
      <c r="E18" t="inlineStr" s="21">
        <is>
          <t xml:space="preserve">Opening balance (example)</t>
        </is>
      </c>
    </row>
    <row r="19">
      <c r="A19" s="20">
        <v>46174</v>
      </c>
      <c r="B19" t="inlineStr" s="21">
        <is>
          <t xml:space="preserve">Maribank</t>
        </is>
      </c>
      <c r="C19" t="inlineStr" s="21">
        <is>
          <t xml:space="preserve">Maribank - Savings</t>
        </is>
      </c>
      <c r="D19" s="19">
        <v>8000</v>
      </c>
      <c r="E19" t="inlineStr" s="21">
        <is>
          <t xml:space="preserve">Opening balance (example)</t>
        </is>
      </c>
    </row>
  </sheetData>
  <mergeCells count="8">
    <mergeCell ref="A1:M1"/>
    <mergeCell ref="A2:B2"/>
    <mergeCell ref="C2:D2"/>
    <mergeCell ref="E2:F2"/>
    <mergeCell ref="G2:H2"/>
    <mergeCell ref="I2:J2"/>
    <mergeCell ref="A3:M3"/>
    <mergeCell ref="A4:M4"/>
  </mergeCells>
  <dataValidations count="2">
    <dataValidation type="list" allowBlank="1" showInputMessage="1" showErrorMessage="1" promptTitle="Pick a bank" prompt="Choose the bank from the drop-down list." sqref="B6:B205">
      <formula1>BankList</formula1>
    </dataValidation>
    <dataValidation type="list" allowBlank="1" showInputMessage="1" showErrorMessage="1" promptTitle="Pick an account" prompt="Choose the account from the drop-down list so the balance matches correctly." sqref="C6:C205">
      <formula1>AccountList</formula1>
    </dataValidation>
  </dataValidations>
  <hyperlinks>
    <hyperlink ref="A2:B2" location="Dashboard!A1" display="🏠 Dashboard"/>
    <hyperlink ref="C2:D2" location="Deposit!A1" display="➕ Deposit"/>
    <hyperlink ref="E2:F2" location="Transactions!A1" display="🔄 Transactions"/>
    <hyperlink ref="G2:H2" location="Balance!A1" display="💼 Balance"/>
    <hyperlink ref="I2:J2" location="Interest!A1" display="📈 Interest"/>
  </hyperlink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ySplit="5" topLeftCell="A6" activePane="bottomLeft" state="frozen"/>
      <selection pane="bottomLeft" activeCell="A6" sqref="A6"/>
    </sheetView>
  </sheetViews>
  <sheetFormatPr defaultRowHeight="15"/>
  <cols>
    <col min="1" max="1" width="13" style="20" customWidth="1"/>
    <col min="2" max="2" width="14" style="21" customWidth="1"/>
    <col min="3" max="3" width="12" style="21" customWidth="1"/>
    <col min="4" max="4" width="24" style="21" customWidth="1"/>
    <col min="5" max="5" width="15" style="19" customWidth="1"/>
    <col min="6" max="6" width="28" style="21" customWidth="1"/>
    <col min="7" max="7" width="10" customWidth="1"/>
    <col min="8" max="8" width="10" customWidth="1"/>
    <col min="9" max="9" width="12" customWidth="1"/>
    <col min="10" max="10" width="12" customWidth="1"/>
    <col min="11" max="11" width="12" customWidth="1"/>
    <col min="12" max="12" width="12" customWidth="1"/>
    <col min="13" max="13" width="12" customWidth="1"/>
  </cols>
  <sheetData>
    <row r="1" ht="30" customHeight="1">
      <c r="A1" t="inlineStr" s="1">
        <is>
          <t xml:space="preserve">💰 Digital Bank Savings Tracker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4" customHeight="1">
      <c r="A2" t="inlineStr" s="2">
        <is>
          <t xml:space="preserve">🏠 Dashboard</t>
        </is>
      </c>
      <c r="B2" s="2"/>
      <c r="C2" t="inlineStr" s="2">
        <is>
          <t xml:space="preserve">➕ Deposit</t>
        </is>
      </c>
      <c r="D2" s="2"/>
      <c r="E2" t="inlineStr" s="3">
        <is>
          <t xml:space="preserve">🔄 Transactions</t>
        </is>
      </c>
      <c r="F2" s="3"/>
      <c r="G2" t="inlineStr" s="2">
        <is>
          <t xml:space="preserve">💼 Balance</t>
        </is>
      </c>
      <c r="H2" s="2"/>
      <c r="I2" t="inlineStr" s="2">
        <is>
          <t xml:space="preserve">📈 Interest</t>
        </is>
      </c>
      <c r="J2" s="2"/>
      <c r="K2" s="2"/>
      <c r="L2" s="2"/>
      <c r="M2" s="2"/>
    </row>
    <row r="3" ht="22" customHeight="1">
      <c r="A3" t="inlineStr" s="5">
        <is>
          <t xml:space="preserve">Log money you move here (deposits/withdrawals/transfers) - use negative amounts for money out, and the filter arrows to search. Interest earned is listed automatically further down and is already included in your Current Balance - do not edit it.</t>
        </is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ht="22" customHeight="1">
      <c r="A4" t="inlineStr" s="4">
        <is>
          <t xml:space="preserve">🔄 Transaction Log  (money you move — use the filters)</t>
        </is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ht="20" customHeight="1">
      <c r="A5" t="inlineStr" s="6">
        <is>
          <t xml:space="preserve">Date</t>
        </is>
      </c>
      <c r="B5" t="inlineStr" s="6">
        <is>
          <t xml:space="preserve">Type</t>
        </is>
      </c>
      <c r="C5" t="inlineStr" s="6">
        <is>
          <t xml:space="preserve">Bank</t>
        </is>
      </c>
      <c r="D5" t="inlineStr" s="6">
        <is>
          <t xml:space="preserve">Account</t>
        </is>
      </c>
      <c r="E5" t="inlineStr" s="6">
        <is>
          <t xml:space="preserve">Amount</t>
        </is>
      </c>
      <c r="F5" t="inlineStr" s="6">
        <is>
          <t xml:space="preserve">Notes</t>
        </is>
      </c>
    </row>
    <row r="6">
      <c r="A6" s="20">
        <v>46188</v>
      </c>
      <c r="B6" t="inlineStr" s="21">
        <is>
          <t xml:space="preserve">Withdrawal</t>
        </is>
      </c>
      <c r="C6" t="inlineStr" s="21">
        <is>
          <t xml:space="preserve">Maya</t>
        </is>
      </c>
      <c r="D6" t="inlineStr" s="21">
        <is>
          <t xml:space="preserve">Maya - Savings</t>
        </is>
      </c>
      <c r="E6" s="19">
        <v>-2000</v>
      </c>
      <c r="F6" t="inlineStr" s="21">
        <is>
          <t xml:space="preserve">ATM withdrawal (example)</t>
        </is>
      </c>
    </row>
    <row r="7">
      <c r="A7" s="20">
        <v>46198</v>
      </c>
      <c r="B7" t="inlineStr" s="21">
        <is>
          <t xml:space="preserve">Transfer</t>
        </is>
      </c>
      <c r="C7" t="inlineStr" s="21">
        <is>
          <t xml:space="preserve">UNO</t>
        </is>
      </c>
      <c r="D7" t="inlineStr" s="21">
        <is>
          <t xml:space="preserve">UNO - Digi Savings</t>
        </is>
      </c>
      <c r="E7" s="19">
        <v>5000</v>
      </c>
      <c r="F7" t="inlineStr" s="21">
        <is>
          <t xml:space="preserve">Transfer in (example)</t>
        </is>
      </c>
    </row>
    <row r="47" ht="22" customHeight="1">
      <c r="A47" t="inlineStr" s="4">
        <is>
          <t xml:space="preserve">🪙 Interest Earned  (auto-posted — do not edit)</t>
        </is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</row>
    <row r="48" ht="20" customHeight="1">
      <c r="A48" t="inlineStr" s="6">
        <is>
          <t xml:space="preserve">Date</t>
        </is>
      </c>
      <c r="B48" t="inlineStr" s="6">
        <is>
          <t xml:space="preserve">Type</t>
        </is>
      </c>
      <c r="C48" t="inlineStr" s="6">
        <is>
          <t xml:space="preserve">Bank</t>
        </is>
      </c>
      <c r="D48" t="inlineStr" s="6">
        <is>
          <t xml:space="preserve">Account</t>
        </is>
      </c>
      <c r="E48" t="inlineStr" s="6">
        <is>
          <t xml:space="preserve">Amount</t>
        </is>
      </c>
      <c r="F48" t="inlineStr" s="6">
        <is>
          <t xml:space="preserve">Notes</t>
        </is>
      </c>
    </row>
    <row r="49">
      <c r="A49" s="11">
        <f>TODAY()</f>
        <v>46208</v>
      </c>
      <c r="B49" t="inlineStr" s="7">
        <is>
          <t xml:space="preserve">Interest</t>
        </is>
      </c>
      <c r="C49" t="inlineStr" s="7">
        <is>
          <t xml:space="preserve">Maya</t>
        </is>
      </c>
      <c r="D49" t="inlineStr" s="7">
        <is>
          <t xml:space="preserve">Maya - Savings</t>
        </is>
      </c>
      <c r="E49" s="23">
        <f>IFERROR(VLOOKUP(D49,Interest!$D$6:$Q$19,13,FALSE),0)</f>
        <v>449.15</v>
      </c>
      <c r="F49" t="inlineStr" s="7">
        <is>
          <t xml:space="preserve">Interest earned to date</t>
        </is>
      </c>
    </row>
    <row r="50">
      <c r="A50" s="11">
        <f>TODAY()</f>
        <v>46208</v>
      </c>
      <c r="B50" t="inlineStr" s="7">
        <is>
          <t xml:space="preserve">Interest</t>
        </is>
      </c>
      <c r="C50" t="inlineStr" s="7">
        <is>
          <t xml:space="preserve">Maya</t>
        </is>
      </c>
      <c r="D50" t="inlineStr" s="7">
        <is>
          <t xml:space="preserve">Maya - Time Deposit 1</t>
        </is>
      </c>
      <c r="E50" s="23">
        <f>IFERROR(VLOOKUP(D50,Interest!$D$6:$Q$19,13,FALSE),0)</f>
        <v>500.0</v>
      </c>
      <c r="F50" t="inlineStr" s="7">
        <is>
          <t xml:space="preserve">Interest earned to date</t>
        </is>
      </c>
    </row>
    <row r="51">
      <c r="A51" s="11">
        <f>TODAY()</f>
        <v>46208</v>
      </c>
      <c r="B51" t="inlineStr" s="7">
        <is>
          <t xml:space="preserve">Interest</t>
        </is>
      </c>
      <c r="C51" t="inlineStr" s="7">
        <is>
          <t xml:space="preserve">Maya</t>
        </is>
      </c>
      <c r="D51" t="inlineStr" s="7">
        <is>
          <t xml:space="preserve">Maya - Time Deposit 2</t>
        </is>
      </c>
      <c r="E51" s="23">
        <f>IFERROR(VLOOKUP(D51,Interest!$D$6:$Q$19,13,FALSE),0)</f>
        <v>500.0</v>
      </c>
      <c r="F51" t="inlineStr" s="7">
        <is>
          <t xml:space="preserve">Interest earned to date</t>
        </is>
      </c>
    </row>
    <row r="52">
      <c r="A52" s="11">
        <f>TODAY()</f>
        <v>46208</v>
      </c>
      <c r="B52" t="inlineStr" s="7">
        <is>
          <t xml:space="preserve">Interest</t>
        </is>
      </c>
      <c r="C52" t="inlineStr" s="7">
        <is>
          <t xml:space="preserve">Maya</t>
        </is>
      </c>
      <c r="D52" t="inlineStr" s="7">
        <is>
          <t xml:space="preserve">Maya - Personal Goal</t>
        </is>
      </c>
      <c r="E52" s="23">
        <f>IFERROR(VLOOKUP(D52,Interest!$D$6:$Q$19,13,FALSE),0)</f>
        <v>116.67</v>
      </c>
      <c r="F52" t="inlineStr" s="7">
        <is>
          <t xml:space="preserve">Interest earned to date</t>
        </is>
      </c>
    </row>
    <row r="53">
      <c r="A53" s="11">
        <f>TODAY()</f>
        <v>46208</v>
      </c>
      <c r="B53" t="inlineStr" s="7">
        <is>
          <t xml:space="preserve">Interest</t>
        </is>
      </c>
      <c r="C53" t="inlineStr" s="7">
        <is>
          <t xml:space="preserve">UNO</t>
        </is>
      </c>
      <c r="D53" t="inlineStr" s="7">
        <is>
          <t xml:space="preserve">UNO - Digi Savings</t>
        </is>
      </c>
      <c r="E53" s="23">
        <f>IFERROR(VLOOKUP(D53,Interest!$D$6:$Q$19,13,FALSE),0)</f>
        <v>81.64</v>
      </c>
      <c r="F53" t="inlineStr" s="7">
        <is>
          <t xml:space="preserve">Interest earned to date</t>
        </is>
      </c>
    </row>
    <row r="54">
      <c r="A54" s="11">
        <f>TODAY()</f>
        <v>46208</v>
      </c>
      <c r="B54" t="inlineStr" s="7">
        <is>
          <t xml:space="preserve">Interest</t>
        </is>
      </c>
      <c r="C54" t="inlineStr" s="7">
        <is>
          <t xml:space="preserve">UNO</t>
        </is>
      </c>
      <c r="D54" t="inlineStr" s="7">
        <is>
          <t xml:space="preserve">UNO - Time Deposit 1</t>
        </is>
      </c>
      <c r="E54" s="23">
        <f>IFERROR(VLOOKUP(D54,Interest!$D$6:$Q$19,13,FALSE),0)</f>
        <v>250.0</v>
      </c>
      <c r="F54" t="inlineStr" s="7">
        <is>
          <t xml:space="preserve">Interest earned to date</t>
        </is>
      </c>
    </row>
    <row r="55">
      <c r="A55" s="11">
        <f>TODAY()</f>
        <v>46208</v>
      </c>
      <c r="B55" t="inlineStr" s="7">
        <is>
          <t xml:space="preserve">Interest</t>
        </is>
      </c>
      <c r="C55" t="inlineStr" s="7">
        <is>
          <t xml:space="preserve">UNO</t>
        </is>
      </c>
      <c r="D55" t="inlineStr" s="7">
        <is>
          <t xml:space="preserve">UNO - Time Deposit 2</t>
        </is>
      </c>
      <c r="E55" s="23">
        <f>IFERROR(VLOOKUP(D55,Interest!$D$6:$Q$19,13,FALSE),0)</f>
        <v>250.0</v>
      </c>
      <c r="F55" t="inlineStr" s="7">
        <is>
          <t xml:space="preserve">Interest earned to date</t>
        </is>
      </c>
    </row>
    <row r="56">
      <c r="A56" s="11">
        <f>TODAY()</f>
        <v>46208</v>
      </c>
      <c r="B56" t="inlineStr" s="7">
        <is>
          <t xml:space="preserve">Interest</t>
        </is>
      </c>
      <c r="C56" t="inlineStr" s="7">
        <is>
          <t xml:space="preserve">Tonik</t>
        </is>
      </c>
      <c r="D56" t="inlineStr" s="7">
        <is>
          <t xml:space="preserve">Tonik - Stash 1</t>
        </is>
      </c>
      <c r="E56" s="23">
        <f>IFERROR(VLOOKUP(D56,Interest!$D$6:$Q$19,13,FALSE),0)</f>
        <v>33.33</v>
      </c>
      <c r="F56" t="inlineStr" s="7">
        <is>
          <t xml:space="preserve">Interest earned to date</t>
        </is>
      </c>
    </row>
    <row r="57">
      <c r="A57" s="11">
        <f>TODAY()</f>
        <v>46208</v>
      </c>
      <c r="B57" t="inlineStr" s="7">
        <is>
          <t xml:space="preserve">Interest</t>
        </is>
      </c>
      <c r="C57" t="inlineStr" s="7">
        <is>
          <t xml:space="preserve">Tonik</t>
        </is>
      </c>
      <c r="D57" t="inlineStr" s="7">
        <is>
          <t xml:space="preserve">Tonik - Stash 2</t>
        </is>
      </c>
      <c r="E57" s="23">
        <f>IFERROR(VLOOKUP(D57,Interest!$D$6:$Q$19,13,FALSE),0)</f>
        <v>33.33</v>
      </c>
      <c r="F57" t="inlineStr" s="7">
        <is>
          <t xml:space="preserve">Interest earned to date</t>
        </is>
      </c>
    </row>
    <row r="58">
      <c r="A58" s="11">
        <f>TODAY()</f>
        <v>46208</v>
      </c>
      <c r="B58" t="inlineStr" s="7">
        <is>
          <t xml:space="preserve">Interest</t>
        </is>
      </c>
      <c r="C58" t="inlineStr" s="7">
        <is>
          <t xml:space="preserve">Tonik</t>
        </is>
      </c>
      <c r="D58" t="inlineStr" s="7">
        <is>
          <t xml:space="preserve">Tonik - Time Deposit</t>
        </is>
      </c>
      <c r="E58" s="23">
        <f>IFERROR(VLOOKUP(D58,Interest!$D$6:$Q$19,13,FALSE),0)</f>
        <v>200.0</v>
      </c>
      <c r="F58" t="inlineStr" s="7">
        <is>
          <t xml:space="preserve">Interest earned to date</t>
        </is>
      </c>
    </row>
    <row r="59">
      <c r="A59" s="11">
        <f>TODAY()</f>
        <v>46208</v>
      </c>
      <c r="B59" t="inlineStr" s="7">
        <is>
          <t xml:space="preserve">Interest</t>
        </is>
      </c>
      <c r="C59" t="inlineStr" s="7">
        <is>
          <t xml:space="preserve">Banko</t>
        </is>
      </c>
      <c r="D59" t="inlineStr" s="7">
        <is>
          <t xml:space="preserve">Banko - Savings</t>
        </is>
      </c>
      <c r="E59" s="23">
        <f>IFERROR(VLOOKUP(D59,Interest!$D$6:$Q$19,13,FALSE),0)</f>
        <v>70.02</v>
      </c>
      <c r="F59" t="inlineStr" s="7">
        <is>
          <t xml:space="preserve">Interest earned to date</t>
        </is>
      </c>
    </row>
    <row r="60">
      <c r="A60" s="11">
        <f>TODAY()</f>
        <v>46208</v>
      </c>
      <c r="B60" t="inlineStr" s="7">
        <is>
          <t xml:space="preserve">Interest</t>
        </is>
      </c>
      <c r="C60" t="inlineStr" s="7">
        <is>
          <t xml:space="preserve">CIMB</t>
        </is>
      </c>
      <c r="D60" t="inlineStr" s="7">
        <is>
          <t xml:space="preserve">CIMB - Savings</t>
        </is>
      </c>
      <c r="E60" s="23">
        <f>IFERROR(VLOOKUP(D60,Interest!$D$6:$Q$19,13,FALSE),0)</f>
        <v>21.45</v>
      </c>
      <c r="F60" t="inlineStr" s="7">
        <is>
          <t xml:space="preserve">Interest earned to date</t>
        </is>
      </c>
    </row>
    <row r="61">
      <c r="A61" s="11">
        <f>TODAY()</f>
        <v>46208</v>
      </c>
      <c r="B61" t="inlineStr" s="7">
        <is>
          <t xml:space="preserve">Interest</t>
        </is>
      </c>
      <c r="C61" t="inlineStr" s="7">
        <is>
          <t xml:space="preserve">GoTyme</t>
        </is>
      </c>
      <c r="D61" t="inlineStr" s="7">
        <is>
          <t xml:space="preserve">GoTyme - GoSave</t>
        </is>
      </c>
      <c r="E61" s="23">
        <f>IFERROR(VLOOKUP(D61,Interest!$D$6:$Q$19,13,FALSE),0)</f>
        <v>30.0</v>
      </c>
      <c r="F61" t="inlineStr" s="7">
        <is>
          <t xml:space="preserve">Interest earned to date</t>
        </is>
      </c>
    </row>
    <row r="62">
      <c r="A62" s="11">
        <f>TODAY()</f>
        <v>46208</v>
      </c>
      <c r="B62" t="inlineStr" s="7">
        <is>
          <t xml:space="preserve">Interest</t>
        </is>
      </c>
      <c r="C62" t="inlineStr" s="7">
        <is>
          <t xml:space="preserve">Maribank</t>
        </is>
      </c>
      <c r="D62" t="inlineStr" s="7">
        <is>
          <t xml:space="preserve">Maribank - Savings</t>
        </is>
      </c>
      <c r="E62" s="23">
        <f>IFERROR(VLOOKUP(D62,Interest!$D$6:$Q$19,13,FALSE),0)</f>
        <v>24.25</v>
      </c>
      <c r="F62" t="inlineStr" s="7">
        <is>
          <t xml:space="preserve">Interest earned to date</t>
        </is>
      </c>
    </row>
    <row r="63" ht="18" customHeight="1">
      <c r="A63" t="inlineStr" s="15">
        <is>
          <t xml:space="preserve"/>
        </is>
      </c>
      <c r="B63" t="inlineStr" s="15">
        <is>
          <t xml:space="preserve"/>
        </is>
      </c>
      <c r="C63" t="inlineStr" s="15">
        <is>
          <t xml:space="preserve"/>
        </is>
      </c>
      <c r="D63" t="inlineStr" s="15">
        <is>
          <t xml:space="preserve">Total interest</t>
        </is>
      </c>
      <c r="E63" s="16">
        <f>SUM(E49:E62)</f>
        <v>2559.84</v>
      </c>
      <c r="F63" t="inlineStr" s="15">
        <is>
          <t xml:space="preserve"/>
        </is>
      </c>
    </row>
  </sheetData>
  <mergeCells count="9">
    <mergeCell ref="A1:M1"/>
    <mergeCell ref="A2:B2"/>
    <mergeCell ref="C2:D2"/>
    <mergeCell ref="E2:F2"/>
    <mergeCell ref="G2:H2"/>
    <mergeCell ref="I2:J2"/>
    <mergeCell ref="A3:M3"/>
    <mergeCell ref="A4:M4"/>
    <mergeCell ref="A47:M47"/>
  </mergeCells>
  <dataValidations count="3">
    <dataValidation type="list" allowBlank="1" showInputMessage="1" showErrorMessage="1" promptTitle="Pick a type" prompt="Choose the transaction type. (Interest is added automatically below - no need to record it here.)" sqref="B6:B45">
      <formula1>"Deposit,Withdrawal,Transfer,Adjustment,Fee"</formula1>
    </dataValidation>
    <dataValidation type="list" allowBlank="1" showInputMessage="1" showErrorMessage="1" promptTitle="Pick a bank" prompt="Choose the bank from the drop-down list." sqref="C6:C45">
      <formula1>BankList</formula1>
    </dataValidation>
    <dataValidation type="list" allowBlank="1" showInputMessage="1" showErrorMessage="1" promptTitle="Pick an account" prompt="Choose the account from the drop-down list." sqref="D6:D45">
      <formula1>AccountList</formula1>
    </dataValidation>
  </dataValidations>
  <hyperlinks>
    <hyperlink ref="A2:B2" location="Dashboard!A1" display="🏠 Dashboard"/>
    <hyperlink ref="C2:D2" location="Deposit!A1" display="➕ Deposit"/>
    <hyperlink ref="E2:F2" location="Transactions!A1" display="🔄 Transactions"/>
    <hyperlink ref="G2:H2" location="Balance!A1" display="💼 Balance"/>
    <hyperlink ref="I2:J2" location="Interest!A1" display="📈 Interest"/>
  </hyperlinks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ySplit="5" topLeftCell="A6" activePane="bottomLeft" state="frozen"/>
      <selection pane="bottomLeft" activeCell="A6" sqref="A6"/>
    </sheetView>
  </sheetViews>
  <sheetFormatPr defaultRowHeight="15"/>
  <cols>
    <col min="1" max="1" width="12" customWidth="1"/>
    <col min="2" max="2" width="16" customWidth="1"/>
    <col min="3" max="3" width="24" customWidth="1"/>
    <col min="4" max="4" width="15" customWidth="1"/>
    <col min="5" max="5" width="16" customWidth="1"/>
    <col min="6" max="6" width="16" customWidth="1"/>
    <col min="7" max="7" width="16" customWidth="1"/>
    <col min="8" max="8" width="17" customWidth="1"/>
    <col min="9" max="9" width="15" customWidth="1"/>
    <col min="10" max="10" width="17" customWidth="1"/>
    <col min="11" max="11" width="10" customWidth="1"/>
    <col min="12" max="12" width="12" customWidth="1"/>
    <col min="13" max="13" width="12" customWidth="1"/>
  </cols>
  <sheetData>
    <row r="1" ht="30" customHeight="1">
      <c r="A1" t="inlineStr" s="1">
        <is>
          <t xml:space="preserve">💰 Digital Bank Savings Tracker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4" customHeight="1">
      <c r="A2" t="inlineStr" s="2">
        <is>
          <t xml:space="preserve">🏠 Dashboard</t>
        </is>
      </c>
      <c r="B2" s="2"/>
      <c r="C2" t="inlineStr" s="2">
        <is>
          <t xml:space="preserve">➕ Deposit</t>
        </is>
      </c>
      <c r="D2" s="2"/>
      <c r="E2" t="inlineStr" s="2">
        <is>
          <t xml:space="preserve">🔄 Transactions</t>
        </is>
      </c>
      <c r="F2" s="2"/>
      <c r="G2" t="inlineStr" s="3">
        <is>
          <t xml:space="preserve">💼 Balance</t>
        </is>
      </c>
      <c r="H2" s="3"/>
      <c r="I2" t="inlineStr" s="2">
        <is>
          <t xml:space="preserve">📈 Interest</t>
        </is>
      </c>
      <c r="J2" s="2"/>
      <c r="K2" s="2"/>
      <c r="L2" s="2"/>
      <c r="M2" s="2"/>
    </row>
    <row r="3" ht="22" customHeight="1">
      <c r="A3" t="inlineStr" s="5">
        <is>
          <t xml:space="preserve">Current Balance = Principal (Deposits + Net Transactions) + Interest Earned. Interest is posted automatically on the Transactions tab and grows each day/month, so Current Balance rises on its own.</t>
        </is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ht="22" customHeight="1">
      <c r="A4" t="inlineStr" s="4">
        <is>
          <t xml:space="preserve">💼 Balances by Account</t>
        </is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ht="28" customHeight="1">
      <c r="A5" t="inlineStr" s="6">
        <is>
          <t xml:space="preserve">Bank</t>
        </is>
      </c>
      <c r="B5" t="inlineStr" s="6">
        <is>
          <t xml:space="preserve">Account</t>
        </is>
      </c>
      <c r="C5" t="inlineStr" s="6">
        <is>
          <t xml:space="preserve">Account Label</t>
        </is>
      </c>
      <c r="D5" t="inlineStr" s="6">
        <is>
          <t xml:space="preserve">Deposits</t>
        </is>
      </c>
      <c r="E5" t="inlineStr" s="6">
        <is>
          <t xml:space="preserve">Net Transactions</t>
        </is>
      </c>
      <c r="F5" t="inlineStr" s="6">
        <is>
          <t xml:space="preserve">Principal</t>
        </is>
      </c>
      <c r="G5" t="inlineStr" s="6">
        <is>
          <t xml:space="preserve">Interest Earned</t>
        </is>
      </c>
      <c r="H5" t="inlineStr" s="6">
        <is>
          <t xml:space="preserve">Current Balance</t>
        </is>
      </c>
      <c r="I5" t="inlineStr" s="6">
        <is>
          <t xml:space="preserve">Interest (1 Yr)</t>
        </is>
      </c>
      <c r="J5" t="inlineStr" s="6">
        <is>
          <t xml:space="preserve">Proj. Balance (1 Yr)</t>
        </is>
      </c>
      <c r="K5" s="6"/>
      <c r="L5" s="6"/>
      <c r="M5" s="6"/>
    </row>
    <row r="6">
      <c r="A6" t="inlineStr" s="7">
        <is>
          <t xml:space="preserve">Maya</t>
        </is>
      </c>
      <c r="B6" t="inlineStr" s="7">
        <is>
          <t xml:space="preserve">Savings</t>
        </is>
      </c>
      <c r="C6" t="inlineStr" s="7">
        <is>
          <t xml:space="preserve">Maya - Savings</t>
        </is>
      </c>
      <c r="D6" s="8">
        <f>SUMIFS(Deposit!$D$6:$D$205,Deposit!$C$6:$C$205,C6)</f>
        <v>50000.0</v>
      </c>
      <c r="E6" s="8">
        <f>SUMIFS(tblTransactions[Amount],tblTransactions[Account],C6)</f>
        <v>-2000.0</v>
      </c>
      <c r="F6" s="8">
        <f>D6+E6</f>
        <v>48000.0</v>
      </c>
      <c r="G6" s="23">
        <f>IFERROR(VLOOKUP(C6,Interest!$D$6:$Q$19,13,FALSE),0)</f>
        <v>449.15</v>
      </c>
      <c r="H6" s="23">
        <f>IFERROR(VLOOKUP(C6,Interest!$D$6:$Q$19,14,FALSE),0)</f>
        <v>48449.15</v>
      </c>
      <c r="I6" s="8">
        <f>IFERROR(VLOOKUP(C6,Interest!$D$6:$L$19,9,FALSE),0)</f>
        <v>5047.48</v>
      </c>
      <c r="J6" s="8">
        <f>F6+I6</f>
        <v>53047.48</v>
      </c>
      <c r="K6" s="21"/>
      <c r="L6" s="21"/>
      <c r="M6" s="21"/>
    </row>
    <row r="7">
      <c r="A7" t="inlineStr" s="7">
        <is>
          <t xml:space="preserve">Maya</t>
        </is>
      </c>
      <c r="B7" t="inlineStr" s="7">
        <is>
          <t xml:space="preserve">Time Deposit 1</t>
        </is>
      </c>
      <c r="C7" t="inlineStr" s="7">
        <is>
          <t xml:space="preserve">Maya - Time Deposit 1</t>
        </is>
      </c>
      <c r="D7" s="8">
        <f>SUMIFS(Deposit!$D$6:$D$205,Deposit!$C$6:$C$205,C7)</f>
        <v>100000.0</v>
      </c>
      <c r="E7" s="8">
        <f>SUMIFS(tblTransactions[Amount],tblTransactions[Account],C7)</f>
        <v>0.0</v>
      </c>
      <c r="F7" s="8">
        <f>D7+E7</f>
        <v>100000.0</v>
      </c>
      <c r="G7" s="23">
        <f>IFERROR(VLOOKUP(C7,Interest!$D$6:$Q$19,13,FALSE),0)</f>
        <v>500.0</v>
      </c>
      <c r="H7" s="23">
        <f>IFERROR(VLOOKUP(C7,Interest!$D$6:$Q$19,14,FALSE),0)</f>
        <v>100500.0</v>
      </c>
      <c r="I7" s="8">
        <f>IFERROR(VLOOKUP(C7,Interest!$D$6:$L$19,9,FALSE),0)</f>
        <v>6167.78</v>
      </c>
      <c r="J7" s="8">
        <f>F7+I7</f>
        <v>106167.78</v>
      </c>
      <c r="K7" s="21"/>
      <c r="L7" s="21"/>
      <c r="M7" s="21"/>
    </row>
    <row r="8">
      <c r="A8" t="inlineStr" s="7">
        <is>
          <t xml:space="preserve">Maya</t>
        </is>
      </c>
      <c r="B8" t="inlineStr" s="7">
        <is>
          <t xml:space="preserve">Time Deposit 2</t>
        </is>
      </c>
      <c r="C8" t="inlineStr" s="7">
        <is>
          <t xml:space="preserve">Maya - Time Deposit 2</t>
        </is>
      </c>
      <c r="D8" s="8">
        <f>SUMIFS(Deposit!$D$6:$D$205,Deposit!$C$6:$C$205,C8)</f>
        <v>100000.0</v>
      </c>
      <c r="E8" s="8">
        <f>SUMIFS(tblTransactions[Amount],tblTransactions[Account],C8)</f>
        <v>0.0</v>
      </c>
      <c r="F8" s="8">
        <f>D8+E8</f>
        <v>100000.0</v>
      </c>
      <c r="G8" s="23">
        <f>IFERROR(VLOOKUP(C8,Interest!$D$6:$Q$19,13,FALSE),0)</f>
        <v>500.0</v>
      </c>
      <c r="H8" s="23">
        <f>IFERROR(VLOOKUP(C8,Interest!$D$6:$Q$19,14,FALSE),0)</f>
        <v>100500.0</v>
      </c>
      <c r="I8" s="8">
        <f>IFERROR(VLOOKUP(C8,Interest!$D$6:$L$19,9,FALSE),0)</f>
        <v>6167.78</v>
      </c>
      <c r="J8" s="8">
        <f>F8+I8</f>
        <v>106167.78</v>
      </c>
      <c r="K8" s="21"/>
      <c r="L8" s="21"/>
      <c r="M8" s="21"/>
    </row>
    <row r="9">
      <c r="A9" t="inlineStr" s="7">
        <is>
          <t xml:space="preserve">Maya</t>
        </is>
      </c>
      <c r="B9" t="inlineStr" s="7">
        <is>
          <t xml:space="preserve">Personal Goal</t>
        </is>
      </c>
      <c r="C9" t="inlineStr" s="7">
        <is>
          <t xml:space="preserve">Maya - Personal Goal</t>
        </is>
      </c>
      <c r="D9" s="8">
        <f>SUMIFS(Deposit!$D$6:$D$205,Deposit!$C$6:$C$205,C9)</f>
        <v>25000.0</v>
      </c>
      <c r="E9" s="8">
        <f>SUMIFS(tblTransactions[Amount],tblTransactions[Account],C9)</f>
        <v>0.0</v>
      </c>
      <c r="F9" s="8">
        <f>D9+E9</f>
        <v>25000.0</v>
      </c>
      <c r="G9" s="23">
        <f>IFERROR(VLOOKUP(C9,Interest!$D$6:$Q$19,13,FALSE),0)</f>
        <v>116.67</v>
      </c>
      <c r="H9" s="23">
        <f>IFERROR(VLOOKUP(C9,Interest!$D$6:$Q$19,14,FALSE),0)</f>
        <v>25116.67</v>
      </c>
      <c r="I9" s="8">
        <f>IFERROR(VLOOKUP(C9,Interest!$D$6:$L$19,9,FALSE),0)</f>
        <v>1436.5</v>
      </c>
      <c r="J9" s="8">
        <f>F9+I9</f>
        <v>26436.5</v>
      </c>
      <c r="K9" s="21"/>
      <c r="L9" s="21"/>
      <c r="M9" s="21"/>
    </row>
    <row r="10">
      <c r="A10" t="inlineStr" s="7">
        <is>
          <t xml:space="preserve">UNO</t>
        </is>
      </c>
      <c r="B10" t="inlineStr" s="7">
        <is>
          <t xml:space="preserve">Digi Savings</t>
        </is>
      </c>
      <c r="C10" t="inlineStr" s="7">
        <is>
          <t xml:space="preserve">UNO - Digi Savings</t>
        </is>
      </c>
      <c r="D10" s="8">
        <f>SUMIFS(Deposit!$D$6:$D$205,Deposit!$C$6:$C$205,C10)</f>
        <v>20000.0</v>
      </c>
      <c r="E10" s="8">
        <f>SUMIFS(tblTransactions[Amount],tblTransactions[Account],C10)</f>
        <v>5000.0</v>
      </c>
      <c r="F10" s="8">
        <f>D10+E10</f>
        <v>25000.0</v>
      </c>
      <c r="G10" s="23">
        <f>IFERROR(VLOOKUP(C10,Interest!$D$6:$Q$19,13,FALSE),0)</f>
        <v>81.64</v>
      </c>
      <c r="H10" s="23">
        <f>IFERROR(VLOOKUP(C10,Interest!$D$6:$Q$19,14,FALSE),0)</f>
        <v>25081.64</v>
      </c>
      <c r="I10" s="8">
        <f>IFERROR(VLOOKUP(C10,Interest!$D$6:$L$19,9,FALSE),0)</f>
        <v>890.45</v>
      </c>
      <c r="J10" s="8">
        <f>F10+I10</f>
        <v>25890.45</v>
      </c>
      <c r="K10" s="21"/>
      <c r="L10" s="21"/>
      <c r="M10" s="21"/>
    </row>
    <row r="11">
      <c r="A11" t="inlineStr" s="7">
        <is>
          <t xml:space="preserve">UNO</t>
        </is>
      </c>
      <c r="B11" t="inlineStr" s="7">
        <is>
          <t xml:space="preserve">Time Deposit 1</t>
        </is>
      </c>
      <c r="C11" t="inlineStr" s="7">
        <is>
          <t xml:space="preserve">UNO - Time Deposit 1</t>
        </is>
      </c>
      <c r="D11" s="8">
        <f>SUMIFS(Deposit!$D$6:$D$205,Deposit!$C$6:$C$205,C11)</f>
        <v>50000.0</v>
      </c>
      <c r="E11" s="8">
        <f>SUMIFS(tblTransactions[Amount],tblTransactions[Account],C11)</f>
        <v>0.0</v>
      </c>
      <c r="F11" s="8">
        <f>D11+E11</f>
        <v>50000.0</v>
      </c>
      <c r="G11" s="23">
        <f>IFERROR(VLOOKUP(C11,Interest!$D$6:$Q$19,13,FALSE),0)</f>
        <v>250.0</v>
      </c>
      <c r="H11" s="23">
        <f>IFERROR(VLOOKUP(C11,Interest!$D$6:$Q$19,14,FALSE),0)</f>
        <v>50250.0</v>
      </c>
      <c r="I11" s="8">
        <f>IFERROR(VLOOKUP(C11,Interest!$D$6:$L$19,9,FALSE),0)</f>
        <v>3083.89</v>
      </c>
      <c r="J11" s="8">
        <f>F11+I11</f>
        <v>53083.89</v>
      </c>
      <c r="K11" s="21"/>
      <c r="L11" s="21"/>
      <c r="M11" s="21"/>
    </row>
    <row r="12">
      <c r="A12" t="inlineStr" s="7">
        <is>
          <t xml:space="preserve">UNO</t>
        </is>
      </c>
      <c r="B12" t="inlineStr" s="7">
        <is>
          <t xml:space="preserve">Time Deposit 2</t>
        </is>
      </c>
      <c r="C12" t="inlineStr" s="7">
        <is>
          <t xml:space="preserve">UNO - Time Deposit 2</t>
        </is>
      </c>
      <c r="D12" s="8">
        <f>SUMIFS(Deposit!$D$6:$D$205,Deposit!$C$6:$C$205,C12)</f>
        <v>50000.0</v>
      </c>
      <c r="E12" s="8">
        <f>SUMIFS(tblTransactions[Amount],tblTransactions[Account],C12)</f>
        <v>0.0</v>
      </c>
      <c r="F12" s="8">
        <f>D12+E12</f>
        <v>50000.0</v>
      </c>
      <c r="G12" s="23">
        <f>IFERROR(VLOOKUP(C12,Interest!$D$6:$Q$19,13,FALSE),0)</f>
        <v>250.0</v>
      </c>
      <c r="H12" s="23">
        <f>IFERROR(VLOOKUP(C12,Interest!$D$6:$Q$19,14,FALSE),0)</f>
        <v>50250.0</v>
      </c>
      <c r="I12" s="8">
        <f>IFERROR(VLOOKUP(C12,Interest!$D$6:$L$19,9,FALSE),0)</f>
        <v>3083.89</v>
      </c>
      <c r="J12" s="8">
        <f>F12+I12</f>
        <v>53083.89</v>
      </c>
      <c r="K12" s="21"/>
      <c r="L12" s="21"/>
      <c r="M12" s="21"/>
    </row>
    <row r="13">
      <c r="A13" t="inlineStr" s="7">
        <is>
          <t xml:space="preserve">Tonik</t>
        </is>
      </c>
      <c r="B13" t="inlineStr" s="7">
        <is>
          <t xml:space="preserve">Stash 1</t>
        </is>
      </c>
      <c r="C13" t="inlineStr" s="7">
        <is>
          <t xml:space="preserve">Tonik - Stash 1</t>
        </is>
      </c>
      <c r="D13" s="8">
        <f>SUMIFS(Deposit!$D$6:$D$205,Deposit!$C$6:$C$205,C13)</f>
        <v>10000.0</v>
      </c>
      <c r="E13" s="8">
        <f>SUMIFS(tblTransactions[Amount],tblTransactions[Account],C13)</f>
        <v>0.0</v>
      </c>
      <c r="F13" s="8">
        <f>D13+E13</f>
        <v>10000.0</v>
      </c>
      <c r="G13" s="23">
        <f>IFERROR(VLOOKUP(C13,Interest!$D$6:$Q$19,13,FALSE),0)</f>
        <v>33.33</v>
      </c>
      <c r="H13" s="23">
        <f>IFERROR(VLOOKUP(C13,Interest!$D$6:$Q$19,14,FALSE),0)</f>
        <v>10033.33</v>
      </c>
      <c r="I13" s="8">
        <f>IFERROR(VLOOKUP(C13,Interest!$D$6:$L$19,9,FALSE),0)</f>
        <v>407.42</v>
      </c>
      <c r="J13" s="8">
        <f>F13+I13</f>
        <v>10407.42</v>
      </c>
      <c r="K13" s="21"/>
      <c r="L13" s="21"/>
      <c r="M13" s="21"/>
    </row>
    <row r="14">
      <c r="A14" t="inlineStr" s="7">
        <is>
          <t xml:space="preserve">Tonik</t>
        </is>
      </c>
      <c r="B14" t="inlineStr" s="7">
        <is>
          <t xml:space="preserve">Stash 2</t>
        </is>
      </c>
      <c r="C14" t="inlineStr" s="7">
        <is>
          <t xml:space="preserve">Tonik - Stash 2</t>
        </is>
      </c>
      <c r="D14" s="8">
        <f>SUMIFS(Deposit!$D$6:$D$205,Deposit!$C$6:$C$205,C14)</f>
        <v>10000.0</v>
      </c>
      <c r="E14" s="8">
        <f>SUMIFS(tblTransactions[Amount],tblTransactions[Account],C14)</f>
        <v>0.0</v>
      </c>
      <c r="F14" s="8">
        <f>D14+E14</f>
        <v>10000.0</v>
      </c>
      <c r="G14" s="23">
        <f>IFERROR(VLOOKUP(C14,Interest!$D$6:$Q$19,13,FALSE),0)</f>
        <v>33.33</v>
      </c>
      <c r="H14" s="23">
        <f>IFERROR(VLOOKUP(C14,Interest!$D$6:$Q$19,14,FALSE),0)</f>
        <v>10033.33</v>
      </c>
      <c r="I14" s="8">
        <f>IFERROR(VLOOKUP(C14,Interest!$D$6:$L$19,9,FALSE),0)</f>
        <v>407.42</v>
      </c>
      <c r="J14" s="8">
        <f>F14+I14</f>
        <v>10407.42</v>
      </c>
      <c r="K14" s="21"/>
      <c r="L14" s="21"/>
      <c r="M14" s="21"/>
    </row>
    <row r="15">
      <c r="A15" t="inlineStr" s="7">
        <is>
          <t xml:space="preserve">Tonik</t>
        </is>
      </c>
      <c r="B15" t="inlineStr" s="7">
        <is>
          <t xml:space="preserve">Time Deposit</t>
        </is>
      </c>
      <c r="C15" t="inlineStr" s="7">
        <is>
          <t xml:space="preserve">Tonik - Time Deposit</t>
        </is>
      </c>
      <c r="D15" s="8">
        <f>SUMIFS(Deposit!$D$6:$D$205,Deposit!$C$6:$C$205,C15)</f>
        <v>30000.0</v>
      </c>
      <c r="E15" s="8">
        <f>SUMIFS(tblTransactions[Amount],tblTransactions[Account],C15)</f>
        <v>0.0</v>
      </c>
      <c r="F15" s="8">
        <f>D15+E15</f>
        <v>30000.0</v>
      </c>
      <c r="G15" s="23">
        <f>IFERROR(VLOOKUP(C15,Interest!$D$6:$Q$19,13,FALSE),0)</f>
        <v>200.0</v>
      </c>
      <c r="H15" s="23">
        <f>IFERROR(VLOOKUP(C15,Interest!$D$6:$Q$19,14,FALSE),0)</f>
        <v>30200.0</v>
      </c>
      <c r="I15" s="8">
        <f>IFERROR(VLOOKUP(C15,Interest!$D$6:$L$19,9,FALSE),0)</f>
        <v>2489.99</v>
      </c>
      <c r="J15" s="8">
        <f>F15+I15</f>
        <v>32489.99</v>
      </c>
      <c r="K15" s="21"/>
      <c r="L15" s="21"/>
      <c r="M15" s="21"/>
    </row>
    <row r="16">
      <c r="A16" t="inlineStr" s="7">
        <is>
          <t xml:space="preserve">Banko</t>
        </is>
      </c>
      <c r="B16" t="inlineStr" s="7">
        <is>
          <t xml:space="preserve">Savings</t>
        </is>
      </c>
      <c r="C16" t="inlineStr" s="7">
        <is>
          <t xml:space="preserve">Banko - Savings</t>
        </is>
      </c>
      <c r="D16" s="8">
        <f>SUMIFS(Deposit!$D$6:$D$205,Deposit!$C$6:$C$205,C16)</f>
        <v>15000.0</v>
      </c>
      <c r="E16" s="8">
        <f>SUMIFS(tblTransactions[Amount],tblTransactions[Account],C16)</f>
        <v>0.0</v>
      </c>
      <c r="F16" s="8">
        <f>D16+E16</f>
        <v>15000.0</v>
      </c>
      <c r="G16" s="23">
        <f>IFERROR(VLOOKUP(C16,Interest!$D$6:$Q$19,13,FALSE),0)</f>
        <v>70.02</v>
      </c>
      <c r="H16" s="23">
        <f>IFERROR(VLOOKUP(C16,Interest!$D$6:$Q$19,14,FALSE),0)</f>
        <v>15070.02</v>
      </c>
      <c r="I16" s="8">
        <f>IFERROR(VLOOKUP(C16,Interest!$D$6:$L$19,9,FALSE),0)</f>
        <v>769.01</v>
      </c>
      <c r="J16" s="8">
        <f>F16+I16</f>
        <v>15769.01</v>
      </c>
      <c r="K16" s="21"/>
      <c r="L16" s="21"/>
      <c r="M16" s="21"/>
    </row>
    <row r="17">
      <c r="A17" t="inlineStr" s="7">
        <is>
          <t xml:space="preserve">CIMB</t>
        </is>
      </c>
      <c r="B17" t="inlineStr" s="7">
        <is>
          <t xml:space="preserve">Savings</t>
        </is>
      </c>
      <c r="C17" t="inlineStr" s="7">
        <is>
          <t xml:space="preserve">CIMB - Savings</t>
        </is>
      </c>
      <c r="D17" s="8">
        <f>SUMIFS(Deposit!$D$6:$D$205,Deposit!$C$6:$C$205,C17)</f>
        <v>10000.0</v>
      </c>
      <c r="E17" s="8">
        <f>SUMIFS(tblTransactions[Amount],tblTransactions[Account],C17)</f>
        <v>0.0</v>
      </c>
      <c r="F17" s="8">
        <f>D17+E17</f>
        <v>10000.0</v>
      </c>
      <c r="G17" s="23">
        <f>IFERROR(VLOOKUP(C17,Interest!$D$6:$Q$19,13,FALSE),0)</f>
        <v>21.45</v>
      </c>
      <c r="H17" s="23">
        <f>IFERROR(VLOOKUP(C17,Interest!$D$6:$Q$19,14,FALSE),0)</f>
        <v>10021.45</v>
      </c>
      <c r="I17" s="8">
        <f>IFERROR(VLOOKUP(C17,Interest!$D$6:$L$19,9,FALSE),0)</f>
        <v>232.66</v>
      </c>
      <c r="J17" s="8">
        <f>F17+I17</f>
        <v>10232.66</v>
      </c>
      <c r="K17" s="21"/>
      <c r="L17" s="21"/>
      <c r="M17" s="21"/>
    </row>
    <row r="18">
      <c r="A18" t="inlineStr" s="7">
        <is>
          <t xml:space="preserve">GoTyme</t>
        </is>
      </c>
      <c r="B18" t="inlineStr" s="7">
        <is>
          <t xml:space="preserve">GoSave</t>
        </is>
      </c>
      <c r="C18" t="inlineStr" s="7">
        <is>
          <t xml:space="preserve">GoTyme - GoSave</t>
        </is>
      </c>
      <c r="D18" s="8">
        <f>SUMIFS(Deposit!$D$6:$D$205,Deposit!$C$6:$C$205,C18)</f>
        <v>12000.0</v>
      </c>
      <c r="E18" s="8">
        <f>SUMIFS(tblTransactions[Amount],tblTransactions[Account],C18)</f>
        <v>0.0</v>
      </c>
      <c r="F18" s="8">
        <f>D18+E18</f>
        <v>12000.0</v>
      </c>
      <c r="G18" s="23">
        <f>IFERROR(VLOOKUP(C18,Interest!$D$6:$Q$19,13,FALSE),0)</f>
        <v>30.0</v>
      </c>
      <c r="H18" s="23">
        <f>IFERROR(VLOOKUP(C18,Interest!$D$6:$Q$19,14,FALSE),0)</f>
        <v>12030.0</v>
      </c>
      <c r="I18" s="8">
        <f>IFERROR(VLOOKUP(C18,Interest!$D$6:$L$19,9,FALSE),0)</f>
        <v>364.99</v>
      </c>
      <c r="J18" s="8">
        <f>F18+I18</f>
        <v>12364.99</v>
      </c>
      <c r="K18" s="21"/>
      <c r="L18" s="21"/>
      <c r="M18" s="21"/>
    </row>
    <row r="19">
      <c r="A19" t="inlineStr" s="7">
        <is>
          <t xml:space="preserve">Maribank</t>
        </is>
      </c>
      <c r="B19" t="inlineStr" s="7">
        <is>
          <t xml:space="preserve">Savings</t>
        </is>
      </c>
      <c r="C19" t="inlineStr" s="7">
        <is>
          <t xml:space="preserve">Maribank - Savings</t>
        </is>
      </c>
      <c r="D19" s="8">
        <f>SUMIFS(Deposit!$D$6:$D$205,Deposit!$C$6:$C$205,C19)</f>
        <v>8000.0</v>
      </c>
      <c r="E19" s="8">
        <f>SUMIFS(tblTransactions[Amount],tblTransactions[Account],C19)</f>
        <v>0.0</v>
      </c>
      <c r="F19" s="8">
        <f>D19+E19</f>
        <v>8000.0</v>
      </c>
      <c r="G19" s="23">
        <f>IFERROR(VLOOKUP(C19,Interest!$D$6:$Q$19,13,FALSE),0)</f>
        <v>24.25</v>
      </c>
      <c r="H19" s="23">
        <f>IFERROR(VLOOKUP(C19,Interest!$D$6:$Q$19,14,FALSE),0)</f>
        <v>8024.25</v>
      </c>
      <c r="I19" s="8">
        <f>IFERROR(VLOOKUP(C19,Interest!$D$6:$L$19,9,FALSE),0)</f>
        <v>264.26</v>
      </c>
      <c r="J19" s="8">
        <f>F19+I19</f>
        <v>8264.26</v>
      </c>
      <c r="K19" s="21"/>
      <c r="L19" s="21"/>
      <c r="M19" s="21"/>
    </row>
    <row r="20" ht="18" customHeight="1">
      <c r="A20" t="inlineStr" s="15">
        <is>
          <t xml:space="preserve">TOTAL</t>
        </is>
      </c>
      <c r="B20" s="15"/>
      <c r="C20" s="15"/>
      <c r="D20" s="16">
        <f>SUM(D6:D19)</f>
        <v>490000.0</v>
      </c>
      <c r="E20" s="16">
        <f>SUM(E6:E19)</f>
        <v>3000.0</v>
      </c>
      <c r="F20" s="16">
        <f>SUM(F6:F19)</f>
        <v>493000.0</v>
      </c>
      <c r="G20" s="16">
        <f>SUM(G6:G19)</f>
        <v>2559.84</v>
      </c>
      <c r="H20" s="16">
        <f>SUM(H6:H19)</f>
        <v>495559.84</v>
      </c>
      <c r="I20" s="16">
        <f>SUM(I6:I19)</f>
        <v>30813.51</v>
      </c>
      <c r="J20" s="16">
        <f>SUM(J6:J19)</f>
        <v>523813.51</v>
      </c>
      <c r="K20" s="16"/>
      <c r="L20" s="16"/>
      <c r="M20" s="16"/>
    </row>
  </sheetData>
  <mergeCells count="8">
    <mergeCell ref="A1:M1"/>
    <mergeCell ref="A2:B2"/>
    <mergeCell ref="C2:D2"/>
    <mergeCell ref="E2:F2"/>
    <mergeCell ref="G2:H2"/>
    <mergeCell ref="I2:J2"/>
    <mergeCell ref="A3:M3"/>
    <mergeCell ref="A4:M4"/>
  </mergeCells>
  <hyperlinks>
    <hyperlink ref="A2:B2" location="Dashboard!A1" display="🏠 Dashboard"/>
    <hyperlink ref="C2:D2" location="Deposit!A1" display="➕ Deposit"/>
    <hyperlink ref="E2:F2" location="Transactions!A1" display="🔄 Transactions"/>
    <hyperlink ref="G2:H2" location="Balance!A1" display="💼 Balance"/>
    <hyperlink ref="I2:J2" location="Interest!A1" display="📈 Interest"/>
  </hyperlinks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ySplit="5" topLeftCell="A6" activePane="bottomLeft" state="frozen"/>
      <selection pane="bottomLeft" activeCell="A6" sqref="A6"/>
    </sheetView>
  </sheetViews>
  <sheetFormatPr defaultRowHeight="15"/>
  <cols>
    <col min="1" max="1" width="11" customWidth="1"/>
    <col min="2" max="2" width="15" customWidth="1"/>
    <col min="3" max="3" width="13" customWidth="1"/>
    <col min="4" max="4" width="22" customWidth="1"/>
    <col min="5" max="5" width="11" customWidth="1"/>
    <col min="6" max="6" width="11" customWidth="1"/>
    <col min="7" max="7" width="15" customWidth="1"/>
    <col min="8" max="8" width="11" hidden="1" customWidth="1"/>
    <col min="9" max="9" width="15" customWidth="1"/>
    <col min="10" max="10" width="10" hidden="1" customWidth="1"/>
    <col min="11" max="11" width="16" customWidth="1"/>
    <col min="12" max="12" width="15" customWidth="1"/>
    <col min="13" max="13" width="12" hidden="1" customWidth="1"/>
    <col min="14" max="14" width="13" customWidth="1"/>
    <col min="15" max="15" width="12" hidden="1" customWidth="1"/>
    <col min="16" max="16" width="16" customWidth="1"/>
    <col min="17" max="17" width="16" customWidth="1"/>
  </cols>
  <sheetData>
    <row r="1" ht="30" customHeight="1">
      <c r="A1" t="inlineStr" s="1">
        <is>
          <t xml:space="preserve">💰 Digital Bank Savings Tracker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24" customHeight="1">
      <c r="A2" t="inlineStr" s="2">
        <is>
          <t xml:space="preserve">🏠 Dashboard</t>
        </is>
      </c>
      <c r="B2" s="2"/>
      <c r="C2" t="inlineStr" s="2">
        <is>
          <t xml:space="preserve">➕ Deposit</t>
        </is>
      </c>
      <c r="D2" s="2"/>
      <c r="E2" t="inlineStr" s="2">
        <is>
          <t xml:space="preserve">🔄 Transactions</t>
        </is>
      </c>
      <c r="F2" s="2"/>
      <c r="G2" t="inlineStr" s="2">
        <is>
          <t xml:space="preserve">💼 Balance</t>
        </is>
      </c>
      <c r="H2" s="2"/>
      <c r="I2" t="inlineStr" s="3">
        <is>
          <t xml:space="preserve">📈 Interest</t>
        </is>
      </c>
      <c r="J2" s="3"/>
      <c r="K2" s="2"/>
      <c r="L2" s="2"/>
      <c r="M2" s="2"/>
      <c r="N2" s="2"/>
      <c r="O2" s="2"/>
      <c r="P2" s="2"/>
      <c r="Q2" s="2"/>
    </row>
    <row r="3" ht="22" customHeight="1">
      <c r="A3" t="inlineStr" s="5">
        <is>
          <t xml:space="preserve">Interest auto-calculates and GROWS ON ITS OWN. 'Balance Today' accrues from the yellow 'Interest Start' date up to TODAY() every time you open the file - daily accounts step up each day, monthly accounts each month. Interest Start is pre-filled with your first deposit date; edit it if an account started elsewhere. Maya Savings = 10%.</t>
        </is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ht="22" customHeight="1">
      <c r="A4" t="inlineStr" s="4">
        <is>
          <t xml:space="preserve">📈 Interest Rates, Earnings &amp; Live Balance</t>
        </is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ht="30" customHeight="1">
      <c r="A5" t="inlineStr" s="6">
        <is>
          <t xml:space="preserve">Bank</t>
        </is>
      </c>
      <c r="B5" t="inlineStr" s="6">
        <is>
          <t xml:space="preserve">Account</t>
        </is>
      </c>
      <c r="C5" t="inlineStr" s="6">
        <is>
          <t xml:space="preserve">Account Type</t>
        </is>
      </c>
      <c r="D5" t="inlineStr" s="6">
        <is>
          <t xml:space="preserve">Account Label</t>
        </is>
      </c>
      <c r="E5" t="inlineStr" s="6">
        <is>
          <t xml:space="preserve">Annual Rate</t>
        </is>
      </c>
      <c r="F5" t="inlineStr" s="6">
        <is>
          <t xml:space="preserve">Frequency</t>
        </is>
      </c>
      <c r="G5" t="inlineStr" s="6">
        <is>
          <t xml:space="preserve">Current Balance</t>
        </is>
      </c>
      <c r="H5" t="inlineStr" s="6">
        <is>
          <t xml:space="preserve">Periodic Rate</t>
        </is>
      </c>
      <c r="I5" t="inlineStr" s="6">
        <is>
          <t xml:space="preserve">Interest / Period</t>
        </is>
      </c>
      <c r="J5" t="inlineStr" s="6">
        <is>
          <t xml:space="preserve">Periods / Yr</t>
        </is>
      </c>
      <c r="K5" t="inlineStr" s="6">
        <is>
          <t xml:space="preserve">Proj. Balance (1 Yr)</t>
        </is>
      </c>
      <c r="L5" t="inlineStr" s="6">
        <is>
          <t xml:space="preserve">Interest (1 Yr)</t>
        </is>
      </c>
      <c r="M5" t="inlineStr" s="6">
        <is>
          <t xml:space="preserve">Monthly Factor</t>
        </is>
      </c>
      <c r="N5" t="inlineStr" s="6">
        <is>
          <t xml:space="preserve">Interest Start</t>
        </is>
      </c>
      <c r="O5" t="inlineStr" s="6">
        <is>
          <t xml:space="preserve">Periods Elapsed</t>
        </is>
      </c>
      <c r="P5" t="inlineStr" s="6">
        <is>
          <t xml:space="preserve">Interest to Date</t>
        </is>
      </c>
      <c r="Q5" t="inlineStr" s="6">
        <is>
          <t xml:space="preserve">Balance Today</t>
        </is>
      </c>
    </row>
    <row r="6">
      <c r="A6" t="inlineStr" s="7">
        <is>
          <t xml:space="preserve">Maya</t>
        </is>
      </c>
      <c r="B6" t="inlineStr" s="7">
        <is>
          <t xml:space="preserve">Savings</t>
        </is>
      </c>
      <c r="C6" t="inlineStr" s="7">
        <is>
          <t xml:space="preserve">Savings</t>
        </is>
      </c>
      <c r="D6" t="inlineStr" s="7">
        <is>
          <t xml:space="preserve">Maya - Savings</t>
        </is>
      </c>
      <c r="E6" s="9">
        <v>0.1</v>
      </c>
      <c r="F6" t="inlineStr" s="18">
        <is>
          <t xml:space="preserve">Daily</t>
        </is>
      </c>
      <c r="G6" s="8">
        <f>IFERROR(VLOOKUP(D6,Balance!$C$6:$H$19,4,FALSE),0)</f>
        <v>48000.0</v>
      </c>
      <c r="H6" s="9">
        <f>IF(F6="Daily",E6/365,E6/12)</f>
        <v>0.00027397</v>
      </c>
      <c r="I6" s="8">
        <f>G6*H6</f>
        <v>13.15</v>
      </c>
      <c r="J6" s="10">
        <f>IF(F6="Daily",365,12)</f>
        <v>365</v>
      </c>
      <c r="K6" s="8">
        <f>G6*(1+H6)^J6</f>
        <v>53047.48</v>
      </c>
      <c r="L6" s="8">
        <f>K6-G6</f>
        <v>5047.48</v>
      </c>
      <c r="M6" s="9">
        <f>IF(F6="Daily",(1+E6/365)^(365/12),1+E6/12)</f>
        <v>1.008367</v>
      </c>
      <c r="N6" s="32">
        <v>46174</v>
      </c>
      <c r="O6" s="10">
        <f>IF(ISNUMBER(N6),IF(F6="Daily",MAX(0,TODAY()-N6),MAX(0,DATEDIF(N6,TODAY(),"m"))),0)</f>
        <v>34</v>
      </c>
      <c r="P6" s="8">
        <f>G6*((1+H6)^O6-1)</f>
        <v>449.15</v>
      </c>
      <c r="Q6" s="8">
        <f>G6+P6</f>
        <v>48449.15</v>
      </c>
    </row>
    <row r="7">
      <c r="A7" t="inlineStr" s="7">
        <is>
          <t xml:space="preserve">Maya</t>
        </is>
      </c>
      <c r="B7" t="inlineStr" s="7">
        <is>
          <t xml:space="preserve">Time Deposit 1</t>
        </is>
      </c>
      <c r="C7" t="inlineStr" s="7">
        <is>
          <t xml:space="preserve">Time Deposit</t>
        </is>
      </c>
      <c r="D7" t="inlineStr" s="7">
        <is>
          <t xml:space="preserve">Maya - Time Deposit 1</t>
        </is>
      </c>
      <c r="E7" s="9">
        <v>0.06</v>
      </c>
      <c r="F7" t="inlineStr" s="18">
        <is>
          <t xml:space="preserve">Monthly</t>
        </is>
      </c>
      <c r="G7" s="8">
        <f>IFERROR(VLOOKUP(D7,Balance!$C$6:$H$19,4,FALSE),0)</f>
        <v>100000.0</v>
      </c>
      <c r="H7" s="9">
        <f>IF(F7="Daily",E7/365,E7/12)</f>
        <v>0.005</v>
      </c>
      <c r="I7" s="8">
        <f>G7*H7</f>
        <v>500.0</v>
      </c>
      <c r="J7" s="10">
        <f>IF(F7="Daily",365,12)</f>
        <v>12</v>
      </c>
      <c r="K7" s="8">
        <f>G7*(1+H7)^J7</f>
        <v>106167.78</v>
      </c>
      <c r="L7" s="8">
        <f>K7-G7</f>
        <v>6167.78</v>
      </c>
      <c r="M7" s="9">
        <f>IF(F7="Daily",(1+E7/365)^(365/12),1+E7/12)</f>
        <v>1.005</v>
      </c>
      <c r="N7" s="32">
        <v>46174</v>
      </c>
      <c r="O7" s="10">
        <f>IF(ISNUMBER(N7),IF(F7="Daily",MAX(0,TODAY()-N7),MAX(0,DATEDIF(N7,TODAY(),"m"))),0)</f>
        <v>1</v>
      </c>
      <c r="P7" s="8">
        <f>G7*((1+H7)^O7-1)</f>
        <v>500.0</v>
      </c>
      <c r="Q7" s="8">
        <f>G7+P7</f>
        <v>100500.0</v>
      </c>
    </row>
    <row r="8">
      <c r="A8" t="inlineStr" s="7">
        <is>
          <t xml:space="preserve">Maya</t>
        </is>
      </c>
      <c r="B8" t="inlineStr" s="7">
        <is>
          <t xml:space="preserve">Time Deposit 2</t>
        </is>
      </c>
      <c r="C8" t="inlineStr" s="7">
        <is>
          <t xml:space="preserve">Time Deposit</t>
        </is>
      </c>
      <c r="D8" t="inlineStr" s="7">
        <is>
          <t xml:space="preserve">Maya - Time Deposit 2</t>
        </is>
      </c>
      <c r="E8" s="9">
        <v>0.06</v>
      </c>
      <c r="F8" t="inlineStr" s="18">
        <is>
          <t xml:space="preserve">Monthly</t>
        </is>
      </c>
      <c r="G8" s="8">
        <f>IFERROR(VLOOKUP(D8,Balance!$C$6:$H$19,4,FALSE),0)</f>
        <v>100000.0</v>
      </c>
      <c r="H8" s="9">
        <f>IF(F8="Daily",E8/365,E8/12)</f>
        <v>0.005</v>
      </c>
      <c r="I8" s="8">
        <f>G8*H8</f>
        <v>500.0</v>
      </c>
      <c r="J8" s="10">
        <f>IF(F8="Daily",365,12)</f>
        <v>12</v>
      </c>
      <c r="K8" s="8">
        <f>G8*(1+H8)^J8</f>
        <v>106167.78</v>
      </c>
      <c r="L8" s="8">
        <f>K8-G8</f>
        <v>6167.78</v>
      </c>
      <c r="M8" s="9">
        <f>IF(F8="Daily",(1+E8/365)^(365/12),1+E8/12)</f>
        <v>1.005</v>
      </c>
      <c r="N8" s="32">
        <v>46174</v>
      </c>
      <c r="O8" s="10">
        <f>IF(ISNUMBER(N8),IF(F8="Daily",MAX(0,TODAY()-N8),MAX(0,DATEDIF(N8,TODAY(),"m"))),0)</f>
        <v>1</v>
      </c>
      <c r="P8" s="8">
        <f>G8*((1+H8)^O8-1)</f>
        <v>500.0</v>
      </c>
      <c r="Q8" s="8">
        <f>G8+P8</f>
        <v>100500.0</v>
      </c>
    </row>
    <row r="9">
      <c r="A9" t="inlineStr" s="7">
        <is>
          <t xml:space="preserve">Maya</t>
        </is>
      </c>
      <c r="B9" t="inlineStr" s="7">
        <is>
          <t xml:space="preserve">Personal Goal</t>
        </is>
      </c>
      <c r="C9" t="inlineStr" s="7">
        <is>
          <t xml:space="preserve">Goal</t>
        </is>
      </c>
      <c r="D9" t="inlineStr" s="7">
        <is>
          <t xml:space="preserve">Maya - Personal Goal</t>
        </is>
      </c>
      <c r="E9" s="9">
        <v>0.056</v>
      </c>
      <c r="F9" t="inlineStr" s="18">
        <is>
          <t xml:space="preserve">Monthly</t>
        </is>
      </c>
      <c r="G9" s="8">
        <f>IFERROR(VLOOKUP(D9,Balance!$C$6:$H$19,4,FALSE),0)</f>
        <v>25000.0</v>
      </c>
      <c r="H9" s="9">
        <f>IF(F9="Daily",E9/365,E9/12)</f>
        <v>0.00466667</v>
      </c>
      <c r="I9" s="8">
        <f>G9*H9</f>
        <v>116.67</v>
      </c>
      <c r="J9" s="10">
        <f>IF(F9="Daily",365,12)</f>
        <v>12</v>
      </c>
      <c r="K9" s="8">
        <f>G9*(1+H9)^J9</f>
        <v>26436.5</v>
      </c>
      <c r="L9" s="8">
        <f>K9-G9</f>
        <v>1436.5</v>
      </c>
      <c r="M9" s="9">
        <f>IF(F9="Daily",(1+E9/365)^(365/12),1+E9/12)</f>
        <v>1.00466667</v>
      </c>
      <c r="N9" s="32">
        <v>46174</v>
      </c>
      <c r="O9" s="10">
        <f>IF(ISNUMBER(N9),IF(F9="Daily",MAX(0,TODAY()-N9),MAX(0,DATEDIF(N9,TODAY(),"m"))),0)</f>
        <v>1</v>
      </c>
      <c r="P9" s="8">
        <f>G9*((1+H9)^O9-1)</f>
        <v>116.67</v>
      </c>
      <c r="Q9" s="8">
        <f>G9+P9</f>
        <v>25116.67</v>
      </c>
    </row>
    <row r="10">
      <c r="A10" t="inlineStr" s="7">
        <is>
          <t xml:space="preserve">UNO</t>
        </is>
      </c>
      <c r="B10" t="inlineStr" s="7">
        <is>
          <t xml:space="preserve">Digi Savings</t>
        </is>
      </c>
      <c r="C10" t="inlineStr" s="7">
        <is>
          <t xml:space="preserve">Savings</t>
        </is>
      </c>
      <c r="D10" t="inlineStr" s="7">
        <is>
          <t xml:space="preserve">UNO - Digi Savings</t>
        </is>
      </c>
      <c r="E10" s="9">
        <v>0.035</v>
      </c>
      <c r="F10" t="inlineStr" s="18">
        <is>
          <t xml:space="preserve">Daily</t>
        </is>
      </c>
      <c r="G10" s="8">
        <f>IFERROR(VLOOKUP(D10,Balance!$C$6:$H$19,4,FALSE),0)</f>
        <v>25000.0</v>
      </c>
      <c r="H10" s="9">
        <f>IF(F10="Daily",E10/365,E10/12)</f>
        <v>9.589e-05</v>
      </c>
      <c r="I10" s="8">
        <f>G10*H10</f>
        <v>2.4</v>
      </c>
      <c r="J10" s="10">
        <f>IF(F10="Daily",365,12)</f>
        <v>365</v>
      </c>
      <c r="K10" s="8">
        <f>G10*(1+H10)^J10</f>
        <v>25890.45</v>
      </c>
      <c r="L10" s="8">
        <f>K10-G10</f>
        <v>890.45</v>
      </c>
      <c r="M10" s="9">
        <f>IF(F10="Daily",(1+E10/365)^(365/12),1+E10/12)</f>
        <v>1.00292078</v>
      </c>
      <c r="N10" s="32">
        <v>46174</v>
      </c>
      <c r="O10" s="10">
        <f>IF(ISNUMBER(N10),IF(F10="Daily",MAX(0,TODAY()-N10),MAX(0,DATEDIF(N10,TODAY(),"m"))),0)</f>
        <v>34</v>
      </c>
      <c r="P10" s="8">
        <f>G10*((1+H10)^O10-1)</f>
        <v>81.64</v>
      </c>
      <c r="Q10" s="8">
        <f>G10+P10</f>
        <v>25081.64</v>
      </c>
    </row>
    <row r="11">
      <c r="A11" t="inlineStr" s="7">
        <is>
          <t xml:space="preserve">UNO</t>
        </is>
      </c>
      <c r="B11" t="inlineStr" s="7">
        <is>
          <t xml:space="preserve">Time Deposit 1</t>
        </is>
      </c>
      <c r="C11" t="inlineStr" s="7">
        <is>
          <t xml:space="preserve">Time Deposit</t>
        </is>
      </c>
      <c r="D11" t="inlineStr" s="7">
        <is>
          <t xml:space="preserve">UNO - Time Deposit 1</t>
        </is>
      </c>
      <c r="E11" s="9">
        <v>0.06</v>
      </c>
      <c r="F11" t="inlineStr" s="18">
        <is>
          <t xml:space="preserve">Monthly</t>
        </is>
      </c>
      <c r="G11" s="8">
        <f>IFERROR(VLOOKUP(D11,Balance!$C$6:$H$19,4,FALSE),0)</f>
        <v>50000.0</v>
      </c>
      <c r="H11" s="9">
        <f>IF(F11="Daily",E11/365,E11/12)</f>
        <v>0.005</v>
      </c>
      <c r="I11" s="8">
        <f>G11*H11</f>
        <v>250.0</v>
      </c>
      <c r="J11" s="10">
        <f>IF(F11="Daily",365,12)</f>
        <v>12</v>
      </c>
      <c r="K11" s="8">
        <f>G11*(1+H11)^J11</f>
        <v>53083.89</v>
      </c>
      <c r="L11" s="8">
        <f>K11-G11</f>
        <v>3083.89</v>
      </c>
      <c r="M11" s="9">
        <f>IF(F11="Daily",(1+E11/365)^(365/12),1+E11/12)</f>
        <v>1.005</v>
      </c>
      <c r="N11" s="32">
        <v>46174</v>
      </c>
      <c r="O11" s="10">
        <f>IF(ISNUMBER(N11),IF(F11="Daily",MAX(0,TODAY()-N11),MAX(0,DATEDIF(N11,TODAY(),"m"))),0)</f>
        <v>1</v>
      </c>
      <c r="P11" s="8">
        <f>G11*((1+H11)^O11-1)</f>
        <v>250.0</v>
      </c>
      <c r="Q11" s="8">
        <f>G11+P11</f>
        <v>50250.0</v>
      </c>
    </row>
    <row r="12">
      <c r="A12" t="inlineStr" s="7">
        <is>
          <t xml:space="preserve">UNO</t>
        </is>
      </c>
      <c r="B12" t="inlineStr" s="7">
        <is>
          <t xml:space="preserve">Time Deposit 2</t>
        </is>
      </c>
      <c r="C12" t="inlineStr" s="7">
        <is>
          <t xml:space="preserve">Time Deposit</t>
        </is>
      </c>
      <c r="D12" t="inlineStr" s="7">
        <is>
          <t xml:space="preserve">UNO - Time Deposit 2</t>
        </is>
      </c>
      <c r="E12" s="9">
        <v>0.06</v>
      </c>
      <c r="F12" t="inlineStr" s="18">
        <is>
          <t xml:space="preserve">Monthly</t>
        </is>
      </c>
      <c r="G12" s="8">
        <f>IFERROR(VLOOKUP(D12,Balance!$C$6:$H$19,4,FALSE),0)</f>
        <v>50000.0</v>
      </c>
      <c r="H12" s="9">
        <f>IF(F12="Daily",E12/365,E12/12)</f>
        <v>0.005</v>
      </c>
      <c r="I12" s="8">
        <f>G12*H12</f>
        <v>250.0</v>
      </c>
      <c r="J12" s="10">
        <f>IF(F12="Daily",365,12)</f>
        <v>12</v>
      </c>
      <c r="K12" s="8">
        <f>G12*(1+H12)^J12</f>
        <v>53083.89</v>
      </c>
      <c r="L12" s="8">
        <f>K12-G12</f>
        <v>3083.89</v>
      </c>
      <c r="M12" s="9">
        <f>IF(F12="Daily",(1+E12/365)^(365/12),1+E12/12)</f>
        <v>1.005</v>
      </c>
      <c r="N12" s="32">
        <v>46174</v>
      </c>
      <c r="O12" s="10">
        <f>IF(ISNUMBER(N12),IF(F12="Daily",MAX(0,TODAY()-N12),MAX(0,DATEDIF(N12,TODAY(),"m"))),0)</f>
        <v>1</v>
      </c>
      <c r="P12" s="8">
        <f>G12*((1+H12)^O12-1)</f>
        <v>250.0</v>
      </c>
      <c r="Q12" s="8">
        <f>G12+P12</f>
        <v>50250.0</v>
      </c>
    </row>
    <row r="13">
      <c r="A13" t="inlineStr" s="7">
        <is>
          <t xml:space="preserve">Tonik</t>
        </is>
      </c>
      <c r="B13" t="inlineStr" s="7">
        <is>
          <t xml:space="preserve">Stash 1</t>
        </is>
      </c>
      <c r="C13" t="inlineStr" s="7">
        <is>
          <t xml:space="preserve">Savings</t>
        </is>
      </c>
      <c r="D13" t="inlineStr" s="7">
        <is>
          <t xml:space="preserve">Tonik - Stash 1</t>
        </is>
      </c>
      <c r="E13" s="9">
        <v>0.04</v>
      </c>
      <c r="F13" t="inlineStr" s="18">
        <is>
          <t xml:space="preserve">Monthly</t>
        </is>
      </c>
      <c r="G13" s="8">
        <f>IFERROR(VLOOKUP(D13,Balance!$C$6:$H$19,4,FALSE),0)</f>
        <v>10000.0</v>
      </c>
      <c r="H13" s="9">
        <f>IF(F13="Daily",E13/365,E13/12)</f>
        <v>0.00333333</v>
      </c>
      <c r="I13" s="8">
        <f>G13*H13</f>
        <v>33.33</v>
      </c>
      <c r="J13" s="10">
        <f>IF(F13="Daily",365,12)</f>
        <v>12</v>
      </c>
      <c r="K13" s="8">
        <f>G13*(1+H13)^J13</f>
        <v>10407.42</v>
      </c>
      <c r="L13" s="8">
        <f>K13-G13</f>
        <v>407.42</v>
      </c>
      <c r="M13" s="9">
        <f>IF(F13="Daily",(1+E13/365)^(365/12),1+E13/12)</f>
        <v>1.00333333</v>
      </c>
      <c r="N13" s="32">
        <v>46174</v>
      </c>
      <c r="O13" s="10">
        <f>IF(ISNUMBER(N13),IF(F13="Daily",MAX(0,TODAY()-N13),MAX(0,DATEDIF(N13,TODAY(),"m"))),0)</f>
        <v>1</v>
      </c>
      <c r="P13" s="8">
        <f>G13*((1+H13)^O13-1)</f>
        <v>33.33</v>
      </c>
      <c r="Q13" s="8">
        <f>G13+P13</f>
        <v>10033.33</v>
      </c>
    </row>
    <row r="14">
      <c r="A14" t="inlineStr" s="7">
        <is>
          <t xml:space="preserve">Tonik</t>
        </is>
      </c>
      <c r="B14" t="inlineStr" s="7">
        <is>
          <t xml:space="preserve">Stash 2</t>
        </is>
      </c>
      <c r="C14" t="inlineStr" s="7">
        <is>
          <t xml:space="preserve">Savings</t>
        </is>
      </c>
      <c r="D14" t="inlineStr" s="7">
        <is>
          <t xml:space="preserve">Tonik - Stash 2</t>
        </is>
      </c>
      <c r="E14" s="9">
        <v>0.04</v>
      </c>
      <c r="F14" t="inlineStr" s="18">
        <is>
          <t xml:space="preserve">Monthly</t>
        </is>
      </c>
      <c r="G14" s="8">
        <f>IFERROR(VLOOKUP(D14,Balance!$C$6:$H$19,4,FALSE),0)</f>
        <v>10000.0</v>
      </c>
      <c r="H14" s="9">
        <f>IF(F14="Daily",E14/365,E14/12)</f>
        <v>0.00333333</v>
      </c>
      <c r="I14" s="8">
        <f>G14*H14</f>
        <v>33.33</v>
      </c>
      <c r="J14" s="10">
        <f>IF(F14="Daily",365,12)</f>
        <v>12</v>
      </c>
      <c r="K14" s="8">
        <f>G14*(1+H14)^J14</f>
        <v>10407.42</v>
      </c>
      <c r="L14" s="8">
        <f>K14-G14</f>
        <v>407.42</v>
      </c>
      <c r="M14" s="9">
        <f>IF(F14="Daily",(1+E14/365)^(365/12),1+E14/12)</f>
        <v>1.00333333</v>
      </c>
      <c r="N14" s="32">
        <v>46174</v>
      </c>
      <c r="O14" s="10">
        <f>IF(ISNUMBER(N14),IF(F14="Daily",MAX(0,TODAY()-N14),MAX(0,DATEDIF(N14,TODAY(),"m"))),0)</f>
        <v>1</v>
      </c>
      <c r="P14" s="8">
        <f>G14*((1+H14)^O14-1)</f>
        <v>33.33</v>
      </c>
      <c r="Q14" s="8">
        <f>G14+P14</f>
        <v>10033.33</v>
      </c>
    </row>
    <row r="15">
      <c r="A15" t="inlineStr" s="7">
        <is>
          <t xml:space="preserve">Tonik</t>
        </is>
      </c>
      <c r="B15" t="inlineStr" s="7">
        <is>
          <t xml:space="preserve">Time Deposit</t>
        </is>
      </c>
      <c r="C15" t="inlineStr" s="7">
        <is>
          <t xml:space="preserve">Time Deposit</t>
        </is>
      </c>
      <c r="D15" t="inlineStr" s="7">
        <is>
          <t xml:space="preserve">Tonik - Time Deposit</t>
        </is>
      </c>
      <c r="E15" s="9">
        <v>0.08</v>
      </c>
      <c r="F15" t="inlineStr" s="18">
        <is>
          <t xml:space="preserve">Monthly</t>
        </is>
      </c>
      <c r="G15" s="8">
        <f>IFERROR(VLOOKUP(D15,Balance!$C$6:$H$19,4,FALSE),0)</f>
        <v>30000.0</v>
      </c>
      <c r="H15" s="9">
        <f>IF(F15="Daily",E15/365,E15/12)</f>
        <v>0.00666667</v>
      </c>
      <c r="I15" s="8">
        <f>G15*H15</f>
        <v>200.0</v>
      </c>
      <c r="J15" s="10">
        <f>IF(F15="Daily",365,12)</f>
        <v>12</v>
      </c>
      <c r="K15" s="8">
        <f>G15*(1+H15)^J15</f>
        <v>32489.99</v>
      </c>
      <c r="L15" s="8">
        <f>K15-G15</f>
        <v>2489.99</v>
      </c>
      <c r="M15" s="9">
        <f>IF(F15="Daily",(1+E15/365)^(365/12),1+E15/12)</f>
        <v>1.00666667</v>
      </c>
      <c r="N15" s="32">
        <v>46174</v>
      </c>
      <c r="O15" s="10">
        <f>IF(ISNUMBER(N15),IF(F15="Daily",MAX(0,TODAY()-N15),MAX(0,DATEDIF(N15,TODAY(),"m"))),0)</f>
        <v>1</v>
      </c>
      <c r="P15" s="8">
        <f>G15*((1+H15)^O15-1)</f>
        <v>200.0</v>
      </c>
      <c r="Q15" s="8">
        <f>G15+P15</f>
        <v>30200.0</v>
      </c>
    </row>
    <row r="16">
      <c r="A16" t="inlineStr" s="7">
        <is>
          <t xml:space="preserve">Banko</t>
        </is>
      </c>
      <c r="B16" t="inlineStr" s="7">
        <is>
          <t xml:space="preserve">Savings</t>
        </is>
      </c>
      <c r="C16" t="inlineStr" s="7">
        <is>
          <t xml:space="preserve">Savings</t>
        </is>
      </c>
      <c r="D16" t="inlineStr" s="7">
        <is>
          <t xml:space="preserve">Banko - Savings</t>
        </is>
      </c>
      <c r="E16" s="9">
        <v>0.05</v>
      </c>
      <c r="F16" t="inlineStr" s="18">
        <is>
          <t xml:space="preserve">Daily</t>
        </is>
      </c>
      <c r="G16" s="8">
        <f>IFERROR(VLOOKUP(D16,Balance!$C$6:$H$19,4,FALSE),0)</f>
        <v>15000.0</v>
      </c>
      <c r="H16" s="9">
        <f>IF(F16="Daily",E16/365,E16/12)</f>
        <v>0.00013699</v>
      </c>
      <c r="I16" s="8">
        <f>G16*H16</f>
        <v>2.05</v>
      </c>
      <c r="J16" s="10">
        <f>IF(F16="Daily",365,12)</f>
        <v>365</v>
      </c>
      <c r="K16" s="8">
        <f>G16*(1+H16)^J16</f>
        <v>15769.01</v>
      </c>
      <c r="L16" s="8">
        <f>K16-G16</f>
        <v>769.01</v>
      </c>
      <c r="M16" s="9">
        <f>IF(F16="Daily",(1+E16/365)^(365/12),1+E16/12)</f>
        <v>1.00417507</v>
      </c>
      <c r="N16" s="32">
        <v>46174</v>
      </c>
      <c r="O16" s="10">
        <f>IF(ISNUMBER(N16),IF(F16="Daily",MAX(0,TODAY()-N16),MAX(0,DATEDIF(N16,TODAY(),"m"))),0)</f>
        <v>34</v>
      </c>
      <c r="P16" s="8">
        <f>G16*((1+H16)^O16-1)</f>
        <v>70.02</v>
      </c>
      <c r="Q16" s="8">
        <f>G16+P16</f>
        <v>15070.02</v>
      </c>
    </row>
    <row r="17">
      <c r="A17" t="inlineStr" s="7">
        <is>
          <t xml:space="preserve">CIMB</t>
        </is>
      </c>
      <c r="B17" t="inlineStr" s="7">
        <is>
          <t xml:space="preserve">Savings</t>
        </is>
      </c>
      <c r="C17" t="inlineStr" s="7">
        <is>
          <t xml:space="preserve">Savings</t>
        </is>
      </c>
      <c r="D17" t="inlineStr" s="7">
        <is>
          <t xml:space="preserve">CIMB - Savings</t>
        </is>
      </c>
      <c r="E17" s="9">
        <v>0.023</v>
      </c>
      <c r="F17" t="inlineStr" s="18">
        <is>
          <t xml:space="preserve">Daily</t>
        </is>
      </c>
      <c r="G17" s="8">
        <f>IFERROR(VLOOKUP(D17,Balance!$C$6:$H$19,4,FALSE),0)</f>
        <v>10000.0</v>
      </c>
      <c r="H17" s="9">
        <f>IF(F17="Daily",E17/365,E17/12)</f>
        <v>6.301e-05</v>
      </c>
      <c r="I17" s="8">
        <f>G17*H17</f>
        <v>0.63</v>
      </c>
      <c r="J17" s="10">
        <f>IF(F17="Daily",365,12)</f>
        <v>365</v>
      </c>
      <c r="K17" s="8">
        <f>G17*(1+H17)^J17</f>
        <v>10232.66</v>
      </c>
      <c r="L17" s="8">
        <f>K17-G17</f>
        <v>232.66</v>
      </c>
      <c r="M17" s="9">
        <f>IF(F17="Daily",(1+E17/365)^(365/12),1+E17/12)</f>
        <v>1.00191844</v>
      </c>
      <c r="N17" s="32">
        <v>46174</v>
      </c>
      <c r="O17" s="10">
        <f>IF(ISNUMBER(N17),IF(F17="Daily",MAX(0,TODAY()-N17),MAX(0,DATEDIF(N17,TODAY(),"m"))),0)</f>
        <v>34</v>
      </c>
      <c r="P17" s="8">
        <f>G17*((1+H17)^O17-1)</f>
        <v>21.45</v>
      </c>
      <c r="Q17" s="8">
        <f>G17+P17</f>
        <v>10021.45</v>
      </c>
    </row>
    <row r="18">
      <c r="A18" t="inlineStr" s="7">
        <is>
          <t xml:space="preserve">GoTyme</t>
        </is>
      </c>
      <c r="B18" t="inlineStr" s="7">
        <is>
          <t xml:space="preserve">GoSave</t>
        </is>
      </c>
      <c r="C18" t="inlineStr" s="7">
        <is>
          <t xml:space="preserve">Savings</t>
        </is>
      </c>
      <c r="D18" t="inlineStr" s="7">
        <is>
          <t xml:space="preserve">GoTyme - GoSave</t>
        </is>
      </c>
      <c r="E18" s="9">
        <v>0.03</v>
      </c>
      <c r="F18" t="inlineStr" s="18">
        <is>
          <t xml:space="preserve">Monthly</t>
        </is>
      </c>
      <c r="G18" s="8">
        <f>IFERROR(VLOOKUP(D18,Balance!$C$6:$H$19,4,FALSE),0)</f>
        <v>12000.0</v>
      </c>
      <c r="H18" s="9">
        <f>IF(F18="Daily",E18/365,E18/12)</f>
        <v>0.0025</v>
      </c>
      <c r="I18" s="8">
        <f>G18*H18</f>
        <v>30.0</v>
      </c>
      <c r="J18" s="10">
        <f>IF(F18="Daily",365,12)</f>
        <v>12</v>
      </c>
      <c r="K18" s="8">
        <f>G18*(1+H18)^J18</f>
        <v>12364.99</v>
      </c>
      <c r="L18" s="8">
        <f>K18-G18</f>
        <v>364.99</v>
      </c>
      <c r="M18" s="9">
        <f>IF(F18="Daily",(1+E18/365)^(365/12),1+E18/12)</f>
        <v>1.0025</v>
      </c>
      <c r="N18" s="32">
        <v>46174</v>
      </c>
      <c r="O18" s="10">
        <f>IF(ISNUMBER(N18),IF(F18="Daily",MAX(0,TODAY()-N18),MAX(0,DATEDIF(N18,TODAY(),"m"))),0)</f>
        <v>1</v>
      </c>
      <c r="P18" s="8">
        <f>G18*((1+H18)^O18-1)</f>
        <v>30.0</v>
      </c>
      <c r="Q18" s="8">
        <f>G18+P18</f>
        <v>12030.0</v>
      </c>
    </row>
    <row r="19">
      <c r="A19" t="inlineStr" s="7">
        <is>
          <t xml:space="preserve">Maribank</t>
        </is>
      </c>
      <c r="B19" t="inlineStr" s="7">
        <is>
          <t xml:space="preserve">Savings</t>
        </is>
      </c>
      <c r="C19" t="inlineStr" s="7">
        <is>
          <t xml:space="preserve">Savings</t>
        </is>
      </c>
      <c r="D19" t="inlineStr" s="7">
        <is>
          <t xml:space="preserve">Maribank - Savings</t>
        </is>
      </c>
      <c r="E19" s="9">
        <v>0.0325</v>
      </c>
      <c r="F19" t="inlineStr" s="18">
        <is>
          <t xml:space="preserve">Daily</t>
        </is>
      </c>
      <c r="G19" s="8">
        <f>IFERROR(VLOOKUP(D19,Balance!$C$6:$H$19,4,FALSE),0)</f>
        <v>8000.0</v>
      </c>
      <c r="H19" s="9">
        <f>IF(F19="Daily",E19/365,E19/12)</f>
        <v>8.904e-05</v>
      </c>
      <c r="I19" s="8">
        <f>G19*H19</f>
        <v>0.71</v>
      </c>
      <c r="J19" s="10">
        <f>IF(F19="Daily",365,12)</f>
        <v>365</v>
      </c>
      <c r="K19" s="8">
        <f>G19*(1+H19)^J19</f>
        <v>8264.26</v>
      </c>
      <c r="L19" s="8">
        <f>K19-G19</f>
        <v>264.26</v>
      </c>
      <c r="M19" s="9">
        <f>IF(F19="Daily",(1+E19/365)^(365/12),1+E19/12)</f>
        <v>1.00271188</v>
      </c>
      <c r="N19" s="32">
        <v>46174</v>
      </c>
      <c r="O19" s="10">
        <f>IF(ISNUMBER(N19),IF(F19="Daily",MAX(0,TODAY()-N19),MAX(0,DATEDIF(N19,TODAY(),"m"))),0)</f>
        <v>34</v>
      </c>
      <c r="P19" s="8">
        <f>G19*((1+H19)^O19-1)</f>
        <v>24.25</v>
      </c>
      <c r="Q19" s="8">
        <f>G19+P19</f>
        <v>8024.25</v>
      </c>
    </row>
    <row r="20" ht="18" customHeight="1">
      <c r="A20" t="inlineStr" s="15">
        <is>
          <t xml:space="preserve">TOTAL</t>
        </is>
      </c>
      <c r="B20" s="15"/>
      <c r="C20" s="15"/>
      <c r="D20" s="15"/>
      <c r="E20" s="15"/>
      <c r="F20" s="15"/>
      <c r="G20" s="16">
        <f>SUM(G6:G19)</f>
        <v>493000.0</v>
      </c>
      <c r="H20" s="15"/>
      <c r="I20" s="15"/>
      <c r="J20" s="15"/>
      <c r="K20" s="16">
        <f>SUM(K6:K19)</f>
        <v>523813.51</v>
      </c>
      <c r="L20" s="16">
        <f>SUM(L6:L19)</f>
        <v>30813.51</v>
      </c>
      <c r="M20" s="15"/>
      <c r="N20" s="15"/>
      <c r="O20" s="15"/>
      <c r="P20" s="16">
        <f>SUM(P6:P19)</f>
        <v>2559.84</v>
      </c>
      <c r="Q20" s="16">
        <f>SUM(Q6:Q19)</f>
        <v>495559.84</v>
      </c>
    </row>
  </sheetData>
  <mergeCells count="8">
    <mergeCell ref="A1:Q1"/>
    <mergeCell ref="A2:B2"/>
    <mergeCell ref="C2:D2"/>
    <mergeCell ref="E2:F2"/>
    <mergeCell ref="G2:H2"/>
    <mergeCell ref="I2:J2"/>
    <mergeCell ref="A3:Q3"/>
    <mergeCell ref="A4:Q4"/>
  </mergeCells>
  <hyperlinks>
    <hyperlink ref="A2:B2" location="Dashboard!A1" display="🏠 Dashboard"/>
    <hyperlink ref="C2:D2" location="Deposit!A1" display="➕ Deposit"/>
    <hyperlink ref="E2:F2" location="Transactions!A1" display="🔄 Transactions"/>
    <hyperlink ref="G2:H2" location="Balance!A1" display="💼 Balance"/>
    <hyperlink ref="I2:J2" location="Interest!A1" display="📈 Interest"/>
  </hyperlinks>
</worksheet>
</file>