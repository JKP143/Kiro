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2225" cap="rnd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2225" cap="rnd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2225" cap="rnd">
              <a:solidFill>
                <a:srgbClr val="70AD47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2225" cap="rnd">
              <a:solidFill>
                <a:srgbClr val="FFC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2225" cap="rnd">
              <a:solidFill>
                <a:srgbClr val="595959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222"/>
        <c:lblOffset val="100"/>
        <c:tickLblSkip val="1"/>
        <c:tickMarkSkip val="1"/>
        <c:noMultiLvlLbl val="0"/>
      </c:catAx>
      <c:valAx>
        <c:axId val="222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Cumulative Balance</a:t>
                </a:r>
              </a:p>
            </c:rich>
          </c:tx>
          <c:overlay val="0"/>
        </c:title>
        <c:numFmt formatCode="[$₱-3409]#,##0" sourceLinked="0"/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274700.74</c:v>
                </c:pt>
                <c:pt idx="1">
                  <c:v>125642.06</c:v>
                </c:pt>
                <c:pt idx="2">
                  <c:v>50299.03</c:v>
                </c:pt>
                <c:pt idx="3">
                  <c:v>15070.02</c:v>
                </c:pt>
                <c:pt idx="4">
                  <c:v>10021.45</c:v>
                </c:pt>
                <c:pt idx="5">
                  <c:v>12033.58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FFC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95959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4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444"/>
        <c:lblOffset val="100"/>
        <c:tickLblSkip val="1"/>
        <c:tickMarkSkip val="1"/>
        <c:noMultiLvlLbl val="0"/>
      </c:catAx>
      <c:valAx>
        <c:axId val="444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Interest Earned</a:t>
                </a:r>
              </a:p>
            </c:rich>
          </c:tx>
          <c:overlay val="0"/>
        </c:title>
        <c:numFmt formatCode="[$₱-3409]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23:F62" totalsRowShown="0">
  <autoFilter ref="A23:F62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 t="str">
        <f>"Figures as of "&amp;TEXT(TODAY(),"mmm d, yyyy")</f>
        <v>Figures as of today</v>
      </c>
      <c r="J4" s="25"/>
      <c r="K4" s="25"/>
      <c r="L4" s="25"/>
      <c r="M4" s="25"/>
    </row>
    <row r="5" ht="18" customHeight="1">
      <c r="A5" t="inlineStr" s="26">
        <is>
          <t xml:space="preserve">Total Current Balance (incl. interest)</t>
        </is>
      </c>
      <c r="B5" s="26"/>
      <c r="C5" s="26"/>
      <c r="D5" s="26"/>
      <c r="E5" s="27">
        <f>SUM(Balance!$H$6:$H$19)</f>
        <v>495791.13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SUM(Balance!$G$6:$G$19)</f>
        <v>2791.13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-SUMIFS(tblTransactions[Amount],tblTransactions[Type],"Withdrawal")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Current Balance</t>
        </is>
      </c>
      <c r="B12" s="26"/>
      <c r="C12" s="26"/>
      <c r="D12" s="26"/>
      <c r="E12" s="27">
        <f>IFERROR(VLOOKUP("Maya - Personal Goal",Balance!$C$6:$H$19,6,FALSE),0)</f>
        <v>25130.74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0.2513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274700.74</v>
      </c>
    </row>
    <row r="18">
      <c r="A18" t="inlineStr" s="7">
        <is>
          <t xml:space="preserve">UNO</t>
        </is>
      </c>
      <c r="B18" s="30">
        <f>SUMIF(Balance!$A$6:$A$19,A18,Balance!$H$6:$H$19)</f>
        <v>125642.06</v>
      </c>
    </row>
    <row r="19">
      <c r="A19" t="inlineStr" s="7">
        <is>
          <t xml:space="preserve">Tonik</t>
        </is>
      </c>
      <c r="B19" s="30">
        <f>SUMIF(Balance!$A$6:$A$19,A19,Balance!$H$6:$H$19)</f>
        <v>50299.03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12033.58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495791.13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Interest earned is shown at the TOP (auto-posted, read-only) and is already included in your Current Balance. Log the money you move (deposits/withdrawals/transfers) in the Transaction Log below - use negative amounts for money out and the filter arrows to search. The log can grow as long as you need (nothing sits beneath it).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🪙 Interest Earned  (auto-posted — do not edit)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</row>
    <row r="6">
      <c r="A6" s="11">
        <f>TODAY()</f>
        <v>46208</v>
      </c>
      <c r="B6" t="inlineStr" s="7">
        <is>
          <t xml:space="preserve">Interest</t>
        </is>
      </c>
      <c r="C6" t="inlineStr" s="7">
        <is>
          <t xml:space="preserve">Maya</t>
        </is>
      </c>
      <c r="D6" t="inlineStr" s="7">
        <is>
          <t xml:space="preserve">Maya - Savings</t>
        </is>
      </c>
      <c r="E6" s="23">
        <f>IFERROR(VLOOKUP(D6,Interest!$D$6:$Q$19,13,FALSE),0)</f>
        <v>449.15</v>
      </c>
      <c r="F6" t="inlineStr" s="7">
        <is>
          <t xml:space="preserve">Interest earned to date</t>
        </is>
      </c>
    </row>
    <row r="7">
      <c r="A7" s="11">
        <f>TODAY()</f>
        <v>46208</v>
      </c>
      <c r="B7" t="inlineStr" s="7">
        <is>
          <t xml:space="preserve">Interest</t>
        </is>
      </c>
      <c r="C7" t="inlineStr" s="7">
        <is>
          <t xml:space="preserve">Maya</t>
        </is>
      </c>
      <c r="D7" t="inlineStr" s="7">
        <is>
          <t xml:space="preserve">Maya - Time Deposit 1</t>
        </is>
      </c>
      <c r="E7" s="23">
        <f>IFERROR(VLOOKUP(D7,Interest!$D$6:$Q$19,13,FALSE),0)</f>
        <v>560.42</v>
      </c>
      <c r="F7" t="inlineStr" s="7">
        <is>
          <t xml:space="preserve">Interest earned to date</t>
        </is>
      </c>
    </row>
    <row r="8">
      <c r="A8" s="11">
        <f>TODAY()</f>
        <v>46208</v>
      </c>
      <c r="B8" t="inlineStr" s="7">
        <is>
          <t xml:space="preserve">Interest</t>
        </is>
      </c>
      <c r="C8" t="inlineStr" s="7">
        <is>
          <t xml:space="preserve">Maya</t>
        </is>
      </c>
      <c r="D8" t="inlineStr" s="7">
        <is>
          <t xml:space="preserve">Maya - Time Deposit 2</t>
        </is>
      </c>
      <c r="E8" s="23">
        <f>IFERROR(VLOOKUP(D8,Interest!$D$6:$Q$19,13,FALSE),0)</f>
        <v>560.42</v>
      </c>
      <c r="F8" t="inlineStr" s="7">
        <is>
          <t xml:space="preserve">Interest earned to date</t>
        </is>
      </c>
    </row>
    <row r="9">
      <c r="A9" s="11">
        <f>TODAY()</f>
        <v>46208</v>
      </c>
      <c r="B9" t="inlineStr" s="7">
        <is>
          <t xml:space="preserve">Interest</t>
        </is>
      </c>
      <c r="C9" t="inlineStr" s="7">
        <is>
          <t xml:space="preserve">Maya</t>
        </is>
      </c>
      <c r="D9" t="inlineStr" s="7">
        <is>
          <t xml:space="preserve">Maya - Personal Goal</t>
        </is>
      </c>
      <c r="E9" s="23">
        <f>IFERROR(VLOOKUP(D9,Interest!$D$6:$Q$19,13,FALSE),0)</f>
        <v>130.74</v>
      </c>
      <c r="F9" t="inlineStr" s="7">
        <is>
          <t xml:space="preserve">Interest earned to date</t>
        </is>
      </c>
    </row>
    <row r="10">
      <c r="A10" s="11">
        <f>TODAY()</f>
        <v>46208</v>
      </c>
      <c r="B10" t="inlineStr" s="7">
        <is>
          <t xml:space="preserve">Interest</t>
        </is>
      </c>
      <c r="C10" t="inlineStr" s="7">
        <is>
          <t xml:space="preserve">UNO</t>
        </is>
      </c>
      <c r="D10" t="inlineStr" s="7">
        <is>
          <t xml:space="preserve">UNO - Digi Savings</t>
        </is>
      </c>
      <c r="E10" s="23">
        <f>IFERROR(VLOOKUP(D10,Interest!$D$6:$Q$19,13,FALSE),0)</f>
        <v>81.64</v>
      </c>
      <c r="F10" t="inlineStr" s="7">
        <is>
          <t xml:space="preserve">Interest earned to date</t>
        </is>
      </c>
    </row>
    <row r="11">
      <c r="A11" s="11">
        <f>TODAY()</f>
        <v>46208</v>
      </c>
      <c r="B11" t="inlineStr" s="7">
        <is>
          <t xml:space="preserve">Interest</t>
        </is>
      </c>
      <c r="C11" t="inlineStr" s="7">
        <is>
          <t xml:space="preserve">UNO</t>
        </is>
      </c>
      <c r="D11" t="inlineStr" s="7">
        <is>
          <t xml:space="preserve">UNO - Time Deposit 1</t>
        </is>
      </c>
      <c r="E11" s="23">
        <f>IFERROR(VLOOKUP(D11,Interest!$D$6:$Q$19,13,FALSE),0)</f>
        <v>280.21</v>
      </c>
      <c r="F11" t="inlineStr" s="7">
        <is>
          <t xml:space="preserve">Interest earned to date</t>
        </is>
      </c>
    </row>
    <row r="12">
      <c r="A12" s="11">
        <f>TODAY()</f>
        <v>46208</v>
      </c>
      <c r="B12" t="inlineStr" s="7">
        <is>
          <t xml:space="preserve">Interest</t>
        </is>
      </c>
      <c r="C12" t="inlineStr" s="7">
        <is>
          <t xml:space="preserve">UNO</t>
        </is>
      </c>
      <c r="D12" t="inlineStr" s="7">
        <is>
          <t xml:space="preserve">UNO - Time Deposit 2</t>
        </is>
      </c>
      <c r="E12" s="23">
        <f>IFERROR(VLOOKUP(D12,Interest!$D$6:$Q$19,13,FALSE),0)</f>
        <v>280.21</v>
      </c>
      <c r="F12" t="inlineStr" s="7">
        <is>
          <t xml:space="preserve">Interest earned to date</t>
        </is>
      </c>
    </row>
    <row r="13">
      <c r="A13" s="11">
        <f>TODAY()</f>
        <v>46208</v>
      </c>
      <c r="B13" t="inlineStr" s="7">
        <is>
          <t xml:space="preserve">Interest</t>
        </is>
      </c>
      <c r="C13" t="inlineStr" s="7">
        <is>
          <t xml:space="preserve">Tonik</t>
        </is>
      </c>
      <c r="D13" t="inlineStr" s="7">
        <is>
          <t xml:space="preserve">Tonik - Stash 1</t>
        </is>
      </c>
      <c r="E13" s="23">
        <f>IFERROR(VLOOKUP(D13,Interest!$D$6:$Q$19,13,FALSE),0)</f>
        <v>37.33</v>
      </c>
      <c r="F13" t="inlineStr" s="7">
        <is>
          <t xml:space="preserve">Interest earned to date</t>
        </is>
      </c>
    </row>
    <row r="14">
      <c r="A14" s="11">
        <f>TODAY()</f>
        <v>46208</v>
      </c>
      <c r="B14" t="inlineStr" s="7">
        <is>
          <t xml:space="preserve">Interest</t>
        </is>
      </c>
      <c r="C14" t="inlineStr" s="7">
        <is>
          <t xml:space="preserve">Tonik</t>
        </is>
      </c>
      <c r="D14" t="inlineStr" s="7">
        <is>
          <t xml:space="preserve">Tonik - Stash 2</t>
        </is>
      </c>
      <c r="E14" s="23">
        <f>IFERROR(VLOOKUP(D14,Interest!$D$6:$Q$19,13,FALSE),0)</f>
        <v>37.33</v>
      </c>
      <c r="F14" t="inlineStr" s="7">
        <is>
          <t xml:space="preserve">Interest earned to date</t>
        </is>
      </c>
    </row>
    <row r="15">
      <c r="A15" s="11">
        <f>TODAY()</f>
        <v>46208</v>
      </c>
      <c r="B15" t="inlineStr" s="7">
        <is>
          <t xml:space="preserve">Interest</t>
        </is>
      </c>
      <c r="C15" t="inlineStr" s="7">
        <is>
          <t xml:space="preserve">Tonik</t>
        </is>
      </c>
      <c r="D15" t="inlineStr" s="7">
        <is>
          <t xml:space="preserve">Tonik - Time Deposit</t>
        </is>
      </c>
      <c r="E15" s="23">
        <f>IFERROR(VLOOKUP(D15,Interest!$D$6:$Q$19,13,FALSE),0)</f>
        <v>224.37</v>
      </c>
      <c r="F15" t="inlineStr" s="7">
        <is>
          <t xml:space="preserve">Interest earned to date</t>
        </is>
      </c>
    </row>
    <row r="16">
      <c r="A16" s="11">
        <f>TODAY()</f>
        <v>46208</v>
      </c>
      <c r="B16" t="inlineStr" s="7">
        <is>
          <t xml:space="preserve">Interest</t>
        </is>
      </c>
      <c r="C16" t="inlineStr" s="7">
        <is>
          <t xml:space="preserve">Banko</t>
        </is>
      </c>
      <c r="D16" t="inlineStr" s="7">
        <is>
          <t xml:space="preserve">Banko - Savings</t>
        </is>
      </c>
      <c r="E16" s="23">
        <f>IFERROR(VLOOKUP(D16,Interest!$D$6:$Q$19,13,FALSE),0)</f>
        <v>70.02</v>
      </c>
      <c r="F16" t="inlineStr" s="7">
        <is>
          <t xml:space="preserve">Interest earned to date</t>
        </is>
      </c>
    </row>
    <row r="17">
      <c r="A17" s="11">
        <f>TODAY()</f>
        <v>46208</v>
      </c>
      <c r="B17" t="inlineStr" s="7">
        <is>
          <t xml:space="preserve">Interest</t>
        </is>
      </c>
      <c r="C17" t="inlineStr" s="7">
        <is>
          <t xml:space="preserve">CIMB</t>
        </is>
      </c>
      <c r="D17" t="inlineStr" s="7">
        <is>
          <t xml:space="preserve">CIMB - Savings</t>
        </is>
      </c>
      <c r="E17" s="23">
        <f>IFERROR(VLOOKUP(D17,Interest!$D$6:$Q$19,13,FALSE),0)</f>
        <v>21.45</v>
      </c>
      <c r="F17" t="inlineStr" s="7">
        <is>
          <t xml:space="preserve">Interest earned to date</t>
        </is>
      </c>
    </row>
    <row r="18">
      <c r="A18" s="11">
        <f>TODAY()</f>
        <v>46208</v>
      </c>
      <c r="B18" t="inlineStr" s="7">
        <is>
          <t xml:space="preserve">Interest</t>
        </is>
      </c>
      <c r="C18" t="inlineStr" s="7">
        <is>
          <t xml:space="preserve">GoTyme</t>
        </is>
      </c>
      <c r="D18" t="inlineStr" s="7">
        <is>
          <t xml:space="preserve">GoTyme - GoSave</t>
        </is>
      </c>
      <c r="E18" s="23">
        <f>IFERROR(VLOOKUP(D18,Interest!$D$6:$Q$19,13,FALSE),0)</f>
        <v>33.58</v>
      </c>
      <c r="F18" t="inlineStr" s="7">
        <is>
          <t xml:space="preserve">Interest earned to date</t>
        </is>
      </c>
    </row>
    <row r="19">
      <c r="A19" s="11">
        <f>TODAY()</f>
        <v>46208</v>
      </c>
      <c r="B19" t="inlineStr" s="7">
        <is>
          <t xml:space="preserve">Interest</t>
        </is>
      </c>
      <c r="C19" t="inlineStr" s="7">
        <is>
          <t xml:space="preserve">Maribank</t>
        </is>
      </c>
      <c r="D19" t="inlineStr" s="7">
        <is>
          <t xml:space="preserve">Maribank - Savings</t>
        </is>
      </c>
      <c r="E19" s="23">
        <f>IFERROR(VLOOKUP(D19,Interest!$D$6:$Q$19,13,FALSE),0)</f>
        <v>24.25</v>
      </c>
      <c r="F19" t="inlineStr" s="7">
        <is>
          <t xml:space="preserve">Interest earned to date</t>
        </is>
      </c>
    </row>
    <row r="20" ht="18" customHeight="1">
      <c r="A20" t="inlineStr" s="15">
        <is>
          <t xml:space="preserve"/>
        </is>
      </c>
      <c r="B20" t="inlineStr" s="15">
        <is>
          <t xml:space="preserve"/>
        </is>
      </c>
      <c r="C20" t="inlineStr" s="15">
        <is>
          <t xml:space="preserve"/>
        </is>
      </c>
      <c r="D20" t="inlineStr" s="15">
        <is>
          <t xml:space="preserve">Total interest</t>
        </is>
      </c>
      <c r="E20" s="16">
        <f>SUM(E6:E19)</f>
        <v>2791.13</v>
      </c>
      <c r="F20" t="inlineStr" s="15">
        <is>
          <t xml:space="preserve"/>
        </is>
      </c>
    </row>
    <row r="22" ht="22" customHeight="1">
      <c r="A22" t="inlineStr" s="4">
        <is>
          <t xml:space="preserve">🔄 Transaction Log  (money you move — use the filters)</t>
        </is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3" ht="20" customHeight="1">
      <c r="A23" t="inlineStr" s="6">
        <is>
          <t xml:space="preserve">Date</t>
        </is>
      </c>
      <c r="B23" t="inlineStr" s="6">
        <is>
          <t xml:space="preserve">Type</t>
        </is>
      </c>
      <c r="C23" t="inlineStr" s="6">
        <is>
          <t xml:space="preserve">Bank</t>
        </is>
      </c>
      <c r="D23" t="inlineStr" s="6">
        <is>
          <t xml:space="preserve">Account</t>
        </is>
      </c>
      <c r="E23" t="inlineStr" s="6">
        <is>
          <t xml:space="preserve">Amount</t>
        </is>
      </c>
      <c r="F23" t="inlineStr" s="6">
        <is>
          <t xml:space="preserve">Notes</t>
        </is>
      </c>
    </row>
    <row r="24">
      <c r="A24" s="20">
        <v>46188</v>
      </c>
      <c r="B24" t="inlineStr" s="21">
        <is>
          <t xml:space="preserve">Withdrawal</t>
        </is>
      </c>
      <c r="C24" t="inlineStr" s="21">
        <is>
          <t xml:space="preserve">Maya</t>
        </is>
      </c>
      <c r="D24" t="inlineStr" s="21">
        <is>
          <t xml:space="preserve">Maya - Savings</t>
        </is>
      </c>
      <c r="E24" s="19">
        <v>-2000</v>
      </c>
      <c r="F24" t="inlineStr" s="21">
        <is>
          <t xml:space="preserve">ATM withdrawal (example)</t>
        </is>
      </c>
    </row>
    <row r="25">
      <c r="A25" s="20">
        <v>46198</v>
      </c>
      <c r="B25" t="inlineStr" s="21">
        <is>
          <t xml:space="preserve">Transfer</t>
        </is>
      </c>
      <c r="C25" t="inlineStr" s="21">
        <is>
          <t xml:space="preserve">UNO</t>
        </is>
      </c>
      <c r="D25" t="inlineStr" s="21">
        <is>
          <t xml:space="preserve">UNO - Digi Savings</t>
        </is>
      </c>
      <c r="E25" s="19">
        <v>5000</v>
      </c>
      <c r="F25" t="inlineStr" s="21">
        <is>
          <t xml:space="preserve">Transfer in (example)</t>
        </is>
      </c>
    </row>
  </sheetData>
  <mergeCells count="9">
    <mergeCell ref="A1:M1"/>
    <mergeCell ref="A2:B2"/>
    <mergeCell ref="C2:D2"/>
    <mergeCell ref="E2:F2"/>
    <mergeCell ref="G2:H2"/>
    <mergeCell ref="I2:J2"/>
    <mergeCell ref="A3:M3"/>
    <mergeCell ref="A4:M4"/>
    <mergeCell ref="A22:M22"/>
  </mergeCells>
  <dataValidations count="3">
    <dataValidation type="list" allowBlank="1" showInputMessage="1" showErrorMessage="1" promptTitle="Pick a type" prompt="Choose the transaction type. (Interest is added automatically at the top - no need to record it here.)" sqref="B24:B62">
      <formula1>"Deposit,Withdrawal,Transfer,Adjustment,Fee"</formula1>
    </dataValidation>
    <dataValidation type="list" allowBlank="1" showInputMessage="1" showErrorMessage="1" promptTitle="Pick a bank" prompt="Choose the bank from the drop-down list." sqref="C24:C62">
      <formula1>BankList</formula1>
    </dataValidation>
    <dataValidation type="list" allowBlank="1" showInputMessage="1" showErrorMessage="1" promptTitle="Pick an account" prompt="Choose the account from the drop-down list." sqref="D24:D62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= Principal (Deposits + Net Transactions) + Interest Earned. Interest accrues daily for every account and is posted automatically on the Transactions tab, so Current Balance rises a little every day.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Principal</t>
        </is>
      </c>
      <c r="G5" t="inlineStr" s="6">
        <is>
          <t xml:space="preserve">Interest Earned</t>
        </is>
      </c>
      <c r="H5" t="inlineStr" s="6">
        <is>
          <t xml:space="preserve">Current Balance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SUMIFS(tblTransactions[Amount],tblTransactions[Account],C6)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SUMIFS(tblTransactions[Amount],tblTransactions[Account],C7)</f>
        <v>0.0</v>
      </c>
      <c r="F7" s="8">
        <f>D7+E7</f>
        <v>100000.0</v>
      </c>
      <c r="G7" s="23">
        <f>IFERROR(VLOOKUP(C7,Interest!$D$6:$Q$19,13,FALSE),0)</f>
        <v>560.42</v>
      </c>
      <c r="H7" s="23">
        <f>IFERROR(VLOOKUP(C7,Interest!$D$6:$Q$19,14,FALSE),0)</f>
        <v>100560.42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SUMIFS(tblTransactions[Amount],tblTransactions[Account],C8)</f>
        <v>0.0</v>
      </c>
      <c r="F8" s="8">
        <f>D8+E8</f>
        <v>100000.0</v>
      </c>
      <c r="G8" s="23">
        <f>IFERROR(VLOOKUP(C8,Interest!$D$6:$Q$19,13,FALSE),0)</f>
        <v>560.42</v>
      </c>
      <c r="H8" s="23">
        <f>IFERROR(VLOOKUP(C8,Interest!$D$6:$Q$19,14,FALSE),0)</f>
        <v>100560.42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SUMIFS(tblTransactions[Amount],tblTransactions[Account],C9)</f>
        <v>0.0</v>
      </c>
      <c r="F9" s="8">
        <f>D9+E9</f>
        <v>25000.0</v>
      </c>
      <c r="G9" s="23">
        <f>IFERROR(VLOOKUP(C9,Interest!$D$6:$Q$19,13,FALSE),0)</f>
        <v>130.74</v>
      </c>
      <c r="H9" s="23">
        <f>IFERROR(VLOOKUP(C9,Interest!$D$6:$Q$19,14,FALSE),0)</f>
        <v>25130.74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SUMIFS(tblTransactions[Amount],tblTransactions[Account],C10)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SUMIFS(tblTransactions[Amount],tblTransactions[Account],C11)</f>
        <v>0.0</v>
      </c>
      <c r="F11" s="8">
        <f>D11+E11</f>
        <v>50000.0</v>
      </c>
      <c r="G11" s="23">
        <f>IFERROR(VLOOKUP(C11,Interest!$D$6:$Q$19,13,FALSE),0)</f>
        <v>280.21</v>
      </c>
      <c r="H11" s="23">
        <f>IFERROR(VLOOKUP(C11,Interest!$D$6:$Q$19,14,FALSE),0)</f>
        <v>50280.21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SUMIFS(tblTransactions[Amount],tblTransactions[Account],C12)</f>
        <v>0.0</v>
      </c>
      <c r="F12" s="8">
        <f>D12+E12</f>
        <v>50000.0</v>
      </c>
      <c r="G12" s="23">
        <f>IFERROR(VLOOKUP(C12,Interest!$D$6:$Q$19,13,FALSE),0)</f>
        <v>280.21</v>
      </c>
      <c r="H12" s="23">
        <f>IFERROR(VLOOKUP(C12,Interest!$D$6:$Q$19,14,FALSE),0)</f>
        <v>50280.21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SUMIFS(tblTransactions[Amount],tblTransactions[Account],C13)</f>
        <v>0.0</v>
      </c>
      <c r="F13" s="8">
        <f>D13+E13</f>
        <v>10000.0</v>
      </c>
      <c r="G13" s="23">
        <f>IFERROR(VLOOKUP(C13,Interest!$D$6:$Q$19,13,FALSE),0)</f>
        <v>37.33</v>
      </c>
      <c r="H13" s="23">
        <f>IFERROR(VLOOKUP(C13,Interest!$D$6:$Q$19,14,FALSE),0)</f>
        <v>10037.33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SUMIFS(tblTransactions[Amount],tblTransactions[Account],C14)</f>
        <v>0.0</v>
      </c>
      <c r="F14" s="8">
        <f>D14+E14</f>
        <v>10000.0</v>
      </c>
      <c r="G14" s="23">
        <f>IFERROR(VLOOKUP(C14,Interest!$D$6:$Q$19,13,FALSE),0)</f>
        <v>37.33</v>
      </c>
      <c r="H14" s="23">
        <f>IFERROR(VLOOKUP(C14,Interest!$D$6:$Q$19,14,FALSE),0)</f>
        <v>10037.33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SUMIFS(tblTransactions[Amount],tblTransactions[Account],C15)</f>
        <v>0.0</v>
      </c>
      <c r="F15" s="8">
        <f>D15+E15</f>
        <v>30000.0</v>
      </c>
      <c r="G15" s="23">
        <f>IFERROR(VLOOKUP(C15,Interest!$D$6:$Q$19,13,FALSE),0)</f>
        <v>224.37</v>
      </c>
      <c r="H15" s="23">
        <f>IFERROR(VLOOKUP(C15,Interest!$D$6:$Q$19,14,FALSE),0)</f>
        <v>30224.37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SUMIFS(tblTransactions[Amount],tblTransactions[Account],C16)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SUMIFS(tblTransactions[Amount],tblTransactions[Account],C17)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SUMIFS(tblTransactions[Amount],tblTransactions[Account],C18)</f>
        <v>0.0</v>
      </c>
      <c r="F18" s="8">
        <f>D18+E18</f>
        <v>12000.0</v>
      </c>
      <c r="G18" s="23">
        <f>IFERROR(VLOOKUP(C18,Interest!$D$6:$Q$19,13,FALSE),0)</f>
        <v>33.58</v>
      </c>
      <c r="H18" s="23">
        <f>IFERROR(VLOOKUP(C18,Interest!$D$6:$Q$19,14,FALSE),0)</f>
        <v>12033.58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SUMIFS(tblTransactions[Amount],tblTransactions[Account],C19)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2791.13</v>
      </c>
      <c r="H20" s="16">
        <f>SUM(H6:H19)</f>
        <v>495791.13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0" customWidth="1"/>
    <col min="5" max="5" width="11" customWidth="1"/>
    <col min="6" max="6" width="11" customWidth="1"/>
    <col min="7" max="7" width="15" customWidth="1"/>
    <col min="8" max="8" width="11" hidden="1" customWidth="1"/>
    <col min="9" max="9" width="13" customWidth="1"/>
    <col min="10" max="10" width="13" customWidth="1"/>
    <col min="11" max="11" width="16" customWidth="1"/>
    <col min="12" max="12" width="15" customWidth="1"/>
    <col min="13" max="13" width="12" hidden="1" customWidth="1"/>
    <col min="14" max="14" width="13" customWidth="1"/>
    <col min="15" max="15" width="12" hidden="1" customWidth="1"/>
    <col min="16" max="16" width="16" customWidth="1"/>
    <col min="17" max="17" width="16" customWidth="1"/>
    <col min="18" max="18" width="10" hidden="1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  <c r="R2" s="2"/>
    </row>
    <row r="3" ht="22" customHeight="1">
      <c r="A3" t="inlineStr" s="5">
        <is>
          <t xml:space="preserve">Interest auto-calculates and GROWS ON ITS OWN. 'Balance Today' accrues DAILY for every account (annual rate / 365, compounded each day) from the yellow 'Interest Start' date up to TODAY(), so it grows a little every day you open the file.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Day (est.)</t>
        </is>
      </c>
      <c r="J5" t="inlineStr" s="6">
        <is>
          <t xml:space="preserve">Interest / Month (est.)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Days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  <c r="R5" t="inlineStr" s="6">
        <is>
          <t xml:space="preserve">Periods / Yr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G6*E6/365</f>
        <v>13.15</v>
      </c>
      <c r="J6" s="8">
        <f>G6*E6/12</f>
        <v>400.0</v>
      </c>
      <c r="K6" s="8">
        <f>G6*(1+H6)^R6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IF(ISNUMBER(N6),MAX(0,TODAY()-N6),0)</f>
        <v>34</v>
      </c>
      <c r="P6" s="8">
        <f>G6*((1+E6/365)^O6-1)</f>
        <v>449.15</v>
      </c>
      <c r="Q6" s="8">
        <f>G6+P6</f>
        <v>48449.15</v>
      </c>
      <c r="R6" s="10">
        <f>IF(F6="Daily",365,12)</f>
        <v>365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G7*E7/365</f>
        <v>16.44</v>
      </c>
      <c r="J7" s="8">
        <f>G7*E7/12</f>
        <v>500.0</v>
      </c>
      <c r="K7" s="8">
        <f>G7*(1+H7)^R7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IF(ISNUMBER(N7),MAX(0,TODAY()-N7),0)</f>
        <v>34</v>
      </c>
      <c r="P7" s="8">
        <f>G7*((1+E7/365)^O7-1)</f>
        <v>560.42</v>
      </c>
      <c r="Q7" s="8">
        <f>G7+P7</f>
        <v>100560.42</v>
      </c>
      <c r="R7" s="10">
        <f>IF(F7="Daily",365,12)</f>
        <v>12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G8*E8/365</f>
        <v>16.44</v>
      </c>
      <c r="J8" s="8">
        <f>G8*E8/12</f>
        <v>500.0</v>
      </c>
      <c r="K8" s="8">
        <f>G8*(1+H8)^R8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IF(ISNUMBER(N8),MAX(0,TODAY()-N8),0)</f>
        <v>34</v>
      </c>
      <c r="P8" s="8">
        <f>G8*((1+E8/365)^O8-1)</f>
        <v>560.42</v>
      </c>
      <c r="Q8" s="8">
        <f>G8+P8</f>
        <v>100560.42</v>
      </c>
      <c r="R8" s="10">
        <f>IF(F8="Daily",365,12)</f>
        <v>12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G9*E9/365</f>
        <v>3.84</v>
      </c>
      <c r="J9" s="8">
        <f>G9*E9/12</f>
        <v>116.67</v>
      </c>
      <c r="K9" s="8">
        <f>G9*(1+H9)^R9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IF(ISNUMBER(N9),MAX(0,TODAY()-N9),0)</f>
        <v>34</v>
      </c>
      <c r="P9" s="8">
        <f>G9*((1+E9/365)^O9-1)</f>
        <v>130.74</v>
      </c>
      <c r="Q9" s="8">
        <f>G9+P9</f>
        <v>25130.74</v>
      </c>
      <c r="R9" s="10">
        <f>IF(F9="Daily",365,12)</f>
        <v>12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G10*E10/365</f>
        <v>2.4</v>
      </c>
      <c r="J10" s="8">
        <f>G10*E10/12</f>
        <v>72.92</v>
      </c>
      <c r="K10" s="8">
        <f>G10*(1+H10)^R10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IF(ISNUMBER(N10),MAX(0,TODAY()-N10),0)</f>
        <v>34</v>
      </c>
      <c r="P10" s="8">
        <f>G10*((1+E10/365)^O10-1)</f>
        <v>81.64</v>
      </c>
      <c r="Q10" s="8">
        <f>G10+P10</f>
        <v>25081.64</v>
      </c>
      <c r="R10" s="10">
        <f>IF(F10="Daily",365,12)</f>
        <v>365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G11*E11/365</f>
        <v>8.22</v>
      </c>
      <c r="J11" s="8">
        <f>G11*E11/12</f>
        <v>250.0</v>
      </c>
      <c r="K11" s="8">
        <f>G11*(1+H11)^R11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IF(ISNUMBER(N11),MAX(0,TODAY()-N11),0)</f>
        <v>34</v>
      </c>
      <c r="P11" s="8">
        <f>G11*((1+E11/365)^O11-1)</f>
        <v>280.21</v>
      </c>
      <c r="Q11" s="8">
        <f>G11+P11</f>
        <v>50280.21</v>
      </c>
      <c r="R11" s="10">
        <f>IF(F11="Daily",365,12)</f>
        <v>12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G12*E12/365</f>
        <v>8.22</v>
      </c>
      <c r="J12" s="8">
        <f>G12*E12/12</f>
        <v>250.0</v>
      </c>
      <c r="K12" s="8">
        <f>G12*(1+H12)^R12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IF(ISNUMBER(N12),MAX(0,TODAY()-N12),0)</f>
        <v>34</v>
      </c>
      <c r="P12" s="8">
        <f>G12*((1+E12/365)^O12-1)</f>
        <v>280.21</v>
      </c>
      <c r="Q12" s="8">
        <f>G12+P12</f>
        <v>50280.21</v>
      </c>
      <c r="R12" s="10">
        <f>IF(F12="Daily",365,12)</f>
        <v>12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G13*E13/365</f>
        <v>1.1</v>
      </c>
      <c r="J13" s="8">
        <f>G13*E13/12</f>
        <v>33.33</v>
      </c>
      <c r="K13" s="8">
        <f>G13*(1+H13)^R13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IF(ISNUMBER(N13),MAX(0,TODAY()-N13),0)</f>
        <v>34</v>
      </c>
      <c r="P13" s="8">
        <f>G13*((1+E13/365)^O13-1)</f>
        <v>37.33</v>
      </c>
      <c r="Q13" s="8">
        <f>G13+P13</f>
        <v>10037.33</v>
      </c>
      <c r="R13" s="10">
        <f>IF(F13="Daily",365,12)</f>
        <v>12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G14*E14/365</f>
        <v>1.1</v>
      </c>
      <c r="J14" s="8">
        <f>G14*E14/12</f>
        <v>33.33</v>
      </c>
      <c r="K14" s="8">
        <f>G14*(1+H14)^R14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IF(ISNUMBER(N14),MAX(0,TODAY()-N14),0)</f>
        <v>34</v>
      </c>
      <c r="P14" s="8">
        <f>G14*((1+E14/365)^O14-1)</f>
        <v>37.33</v>
      </c>
      <c r="Q14" s="8">
        <f>G14+P14</f>
        <v>10037.33</v>
      </c>
      <c r="R14" s="10">
        <f>IF(F14="Daily",365,12)</f>
        <v>12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G15*E15/365</f>
        <v>6.58</v>
      </c>
      <c r="J15" s="8">
        <f>G15*E15/12</f>
        <v>200.0</v>
      </c>
      <c r="K15" s="8">
        <f>G15*(1+H15)^R15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IF(ISNUMBER(N15),MAX(0,TODAY()-N15),0)</f>
        <v>34</v>
      </c>
      <c r="P15" s="8">
        <f>G15*((1+E15/365)^O15-1)</f>
        <v>224.37</v>
      </c>
      <c r="Q15" s="8">
        <f>G15+P15</f>
        <v>30224.37</v>
      </c>
      <c r="R15" s="10">
        <f>IF(F15="Daily",365,12)</f>
        <v>12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G16*E16/365</f>
        <v>2.05</v>
      </c>
      <c r="J16" s="8">
        <f>G16*E16/12</f>
        <v>62.5</v>
      </c>
      <c r="K16" s="8">
        <f>G16*(1+H16)^R16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IF(ISNUMBER(N16),MAX(0,TODAY()-N16),0)</f>
        <v>34</v>
      </c>
      <c r="P16" s="8">
        <f>G16*((1+E16/365)^O16-1)</f>
        <v>70.02</v>
      </c>
      <c r="Q16" s="8">
        <f>G16+P16</f>
        <v>15070.02</v>
      </c>
      <c r="R16" s="10">
        <f>IF(F16="Daily",365,12)</f>
        <v>365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G17*E17/365</f>
        <v>0.63</v>
      </c>
      <c r="J17" s="8">
        <f>G17*E17/12</f>
        <v>19.17</v>
      </c>
      <c r="K17" s="8">
        <f>G17*(1+H17)^R17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IF(ISNUMBER(N17),MAX(0,TODAY()-N17),0)</f>
        <v>34</v>
      </c>
      <c r="P17" s="8">
        <f>G17*((1+E17/365)^O17-1)</f>
        <v>21.45</v>
      </c>
      <c r="Q17" s="8">
        <f>G17+P17</f>
        <v>10021.45</v>
      </c>
      <c r="R17" s="10">
        <f>IF(F17="Daily",365,12)</f>
        <v>365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G18*E18/365</f>
        <v>0.99</v>
      </c>
      <c r="J18" s="8">
        <f>G18*E18/12</f>
        <v>30.0</v>
      </c>
      <c r="K18" s="8">
        <f>G18*(1+H18)^R18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IF(ISNUMBER(N18),MAX(0,TODAY()-N18),0)</f>
        <v>34</v>
      </c>
      <c r="P18" s="8">
        <f>G18*((1+E18/365)^O18-1)</f>
        <v>33.58</v>
      </c>
      <c r="Q18" s="8">
        <f>G18+P18</f>
        <v>12033.58</v>
      </c>
      <c r="R18" s="10">
        <f>IF(F18="Daily",365,12)</f>
        <v>12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G19*E19/365</f>
        <v>0.71</v>
      </c>
      <c r="J19" s="8">
        <f>G19*E19/12</f>
        <v>21.67</v>
      </c>
      <c r="K19" s="8">
        <f>G19*(1+H19)^R19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IF(ISNUMBER(N19),MAX(0,TODAY()-N19),0)</f>
        <v>34</v>
      </c>
      <c r="P19" s="8">
        <f>G19*((1+E19/365)^O19-1)</f>
        <v>24.25</v>
      </c>
      <c r="Q19" s="8">
        <f>G19+P19</f>
        <v>8024.25</v>
      </c>
      <c r="R19" s="10">
        <f>IF(F19="Daily",365,12)</f>
        <v>365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81.87</v>
      </c>
      <c r="J20" s="16">
        <f>SUM(J6:J19)</f>
        <v>2489.59</v>
      </c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2791.13</v>
      </c>
      <c r="Q20" s="16">
        <f>SUM(Q6:Q19)</f>
        <v>495791.13</v>
      </c>
      <c r="R20" s="15"/>
    </row>
  </sheetData>
  <mergeCells count="8">
    <mergeCell ref="A1:R1"/>
    <mergeCell ref="A2:B2"/>
    <mergeCell ref="C2:D2"/>
    <mergeCell ref="E2:F2"/>
    <mergeCell ref="G2:H2"/>
    <mergeCell ref="I2:J2"/>
    <mergeCell ref="A3:R3"/>
    <mergeCell ref="A4:R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