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15062.5</c:v>
                </c:pt>
                <c:pt idx="1">
                  <c:v>15125.387</c:v>
                </c:pt>
                <c:pt idx="2">
                  <c:v>15188.5366</c:v>
                </c:pt>
                <c:pt idx="3">
                  <c:v>15251.9499</c:v>
                </c:pt>
                <c:pt idx="4">
                  <c:v>15315.6279</c:v>
                </c:pt>
                <c:pt idx="5">
                  <c:v>15379.5717</c:v>
                </c:pt>
                <c:pt idx="6">
                  <c:v>15443.7826</c:v>
                </c:pt>
                <c:pt idx="7">
                  <c:v>15508.2615</c:v>
                </c:pt>
                <c:pt idx="8">
                  <c:v>15573.0096</c:v>
                </c:pt>
                <c:pt idx="9">
                  <c:v>15638.028</c:v>
                </c:pt>
                <c:pt idx="10">
                  <c:v>15703.3179</c:v>
                </c:pt>
                <c:pt idx="11">
                  <c:v>15768.8804</c:v>
                </c:pt>
                <c:pt idx="12">
                  <c:v>15834.7167</c:v>
                </c:pt>
                <c:pt idx="13">
                  <c:v>15900.8278</c:v>
                </c:pt>
                <c:pt idx="14">
                  <c:v>15967.2149</c:v>
                </c:pt>
                <c:pt idx="15">
                  <c:v>16033.8792</c:v>
                </c:pt>
                <c:pt idx="16">
                  <c:v>16100.8218</c:v>
                </c:pt>
                <c:pt idx="17">
                  <c:v>16168.0439</c:v>
                </c:pt>
                <c:pt idx="18">
                  <c:v>16235.5466</c:v>
                </c:pt>
                <c:pt idx="19">
                  <c:v>16303.3312</c:v>
                </c:pt>
                <c:pt idx="20">
                  <c:v>16371.3988</c:v>
                </c:pt>
                <c:pt idx="21">
                  <c:v>16439.7506</c:v>
                </c:pt>
                <c:pt idx="22">
                  <c:v>16508.3877</c:v>
                </c:pt>
                <c:pt idx="23">
                  <c:v>16577.3115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8575">
              <a:solidFill>
                <a:srgbClr val="7030A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8575">
              <a:solidFill>
                <a:srgbClr val="843C0C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Cumulative Balance (PHP)</a:t>
                </a:r>
              </a:p>
            </c:rich>
          </c:tx>
          <c:overlay val="0"/>
        </c:title>
        <c:numFmt formatCode="#,##0" sourceLinked="0"/>
        <c:crossAx val="111"/>
      </c:valAx>
    </c:plotArea>
    <c:legend>
      <c:legendPos val="r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273000.0</c:v>
                </c:pt>
                <c:pt idx="1">
                  <c:v>125000.0</c:v>
                </c:pt>
                <c:pt idx="2">
                  <c:v>50000.0</c:v>
                </c:pt>
                <c:pt idx="3">
                  <c:v>15062.5</c:v>
                </c:pt>
                <c:pt idx="4">
                  <c:v>10000.0</c:v>
                </c:pt>
                <c:pt idx="5">
                  <c:v>12000.0</c:v>
                </c:pt>
                <c:pt idx="6">
                  <c:v>8000.0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Dashboard!$I$79</c:f>
              <c:strCache>
                <c:ptCount val="1"/>
                <c:pt idx="0">
                  <c:v>Interest Earned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Dashboard!$I$80:$I$103</c:f>
              <c:numCache>
                <c:formatCode>General</c:formatCode>
                <c:ptCount val="24"/>
                <c:pt idx="0">
                  <c:v>0.0</c:v>
                </c:pt>
                <c:pt idx="1">
                  <c:v>2491.7355</c:v>
                </c:pt>
                <c:pt idx="2">
                  <c:v>2505.3423</c:v>
                </c:pt>
                <c:pt idx="3">
                  <c:v>2519.029</c:v>
                </c:pt>
                <c:pt idx="4">
                  <c:v>2532.7962</c:v>
                </c:pt>
                <c:pt idx="5">
                  <c:v>2546.6443</c:v>
                </c:pt>
                <c:pt idx="6">
                  <c:v>2560.5738</c:v>
                </c:pt>
                <c:pt idx="7">
                  <c:v>2574.5853</c:v>
                </c:pt>
                <c:pt idx="8">
                  <c:v>2588.6792</c:v>
                </c:pt>
                <c:pt idx="9">
                  <c:v>2602.8562</c:v>
                </c:pt>
                <c:pt idx="10">
                  <c:v>2617.1167</c:v>
                </c:pt>
                <c:pt idx="11">
                  <c:v>2631.4612</c:v>
                </c:pt>
                <c:pt idx="12">
                  <c:v>2645.8903</c:v>
                </c:pt>
                <c:pt idx="13">
                  <c:v>2660.4045</c:v>
                </c:pt>
                <c:pt idx="14">
                  <c:v>2675.0044</c:v>
                </c:pt>
                <c:pt idx="15">
                  <c:v>2689.6904</c:v>
                </c:pt>
                <c:pt idx="16">
                  <c:v>2704.4633</c:v>
                </c:pt>
                <c:pt idx="17">
                  <c:v>2719.3234</c:v>
                </c:pt>
                <c:pt idx="18">
                  <c:v>2734.2713</c:v>
                </c:pt>
                <c:pt idx="19">
                  <c:v>2749.3077</c:v>
                </c:pt>
                <c:pt idx="20">
                  <c:v>2764.433</c:v>
                </c:pt>
                <c:pt idx="21">
                  <c:v>2779.6479</c:v>
                </c:pt>
                <c:pt idx="22">
                  <c:v>2794.9528</c:v>
                </c:pt>
                <c:pt idx="23">
                  <c:v>2810.3485</c:v>
                </c:pt>
              </c:numCache>
            </c:numRef>
          </c:val>
        </c:ser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Interest (PHP)</a:t>
                </a:r>
              </a:p>
            </c:rich>
          </c:tx>
          <c:overlay val="0"/>
        </c:title>
        <c:numFmt formatCode="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5" ht="18" customHeight="1">
      <c r="A5" t="inlineStr" s="25">
        <is>
          <t xml:space="preserve">Total Balance (All Accounts)</t>
        </is>
      </c>
      <c r="B5" s="25"/>
      <c r="C5" s="25"/>
      <c r="D5" s="25"/>
      <c r="E5" s="26">
        <f>SUM(Balance!$F$6:$F$19)</f>
        <v>493062.5</v>
      </c>
      <c r="F5" s="26"/>
      <c r="G5" s="26"/>
      <c r="H5" s="26"/>
    </row>
    <row r="6" ht="18" customHeight="1">
      <c r="A6" t="inlineStr" s="25">
        <is>
          <t xml:space="preserve">Total Deposited (All-Time)</t>
        </is>
      </c>
      <c r="B6" s="25"/>
      <c r="C6" s="25"/>
      <c r="D6" s="25"/>
      <c r="E6" s="26">
        <f>SUM(Balance!$D$6:$D$19)</f>
        <v>490000.0</v>
      </c>
      <c r="F6" s="26"/>
      <c r="G6" s="26"/>
      <c r="H6" s="26"/>
    </row>
    <row r="7" ht="18" customHeight="1">
      <c r="A7" t="inlineStr" s="25">
        <is>
          <t xml:space="preserve">Total Interest Credited</t>
        </is>
      </c>
      <c r="B7" s="25"/>
      <c r="C7" s="25"/>
      <c r="D7" s="25"/>
      <c r="E7" s="26">
        <f>SUMIFS(Transactions!$E$6:$E$205,Transactions!$B$6:$B$205,"Interest")</f>
        <v>62.5</v>
      </c>
      <c r="F7" s="26"/>
      <c r="G7" s="26"/>
      <c r="H7" s="26"/>
    </row>
    <row r="8" ht="18" customHeight="1">
      <c r="A8" t="inlineStr" s="25">
        <is>
          <t xml:space="preserve">Total Withdrawn</t>
        </is>
      </c>
      <c r="B8" s="25"/>
      <c r="C8" s="25"/>
      <c r="D8" s="25"/>
      <c r="E8" s="26">
        <f>-SUMIFS(Transactions!$E$6:$E$205,Transactions!$B$6:$B$205,"Withdrawal")</f>
        <v>2000</v>
      </c>
      <c r="F8" s="26"/>
      <c r="G8" s="26"/>
      <c r="H8" s="26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5">
        <is>
          <t xml:space="preserve">Your Savings Goal Target</t>
        </is>
      </c>
      <c r="B11" s="25"/>
      <c r="C11" s="25"/>
      <c r="D11" s="25"/>
      <c r="E11" s="28">
        <v>100000</v>
      </c>
      <c r="F11" s="28"/>
      <c r="G11" s="28"/>
      <c r="H11" s="28"/>
    </row>
    <row r="12" ht="18" customHeight="1">
      <c r="A12" t="inlineStr" s="25">
        <is>
          <t xml:space="preserve">Maya Personal Goal — Current Balance</t>
        </is>
      </c>
      <c r="B12" s="25"/>
      <c r="C12" s="25"/>
      <c r="D12" s="25"/>
      <c r="E12" s="26">
        <f>IFERROR(VLOOKUP("Maya - Personal Goal",Balance!$C$6:$F$19,4,FALSE),0)</f>
        <v>25000.0</v>
      </c>
      <c r="F12" s="26"/>
      <c r="G12" s="26"/>
      <c r="H12" s="26"/>
    </row>
    <row r="13" ht="18" customHeight="1">
      <c r="A13" t="inlineStr" s="25">
        <is>
          <t xml:space="preserve">Progress Toward Goal</t>
        </is>
      </c>
      <c r="B13" s="25"/>
      <c r="C13" s="25"/>
      <c r="D13" s="25"/>
      <c r="E13" s="27">
        <f>IFERROR(E12/E11,0)</f>
        <v>0.25</v>
      </c>
      <c r="F13" s="27"/>
      <c r="G13" s="27"/>
      <c r="H13" s="27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29">
        <f>SUMIF(Balance!$B$6:$B$19,A17,Balance!$F$6:$F$19)</f>
        <v>273000.0</v>
      </c>
    </row>
    <row r="18">
      <c r="A18" t="inlineStr" s="7">
        <is>
          <t xml:space="preserve">UNO</t>
        </is>
      </c>
      <c r="B18" s="29">
        <f>SUMIF(Balance!$B$6:$B$19,A18,Balance!$F$6:$F$19)</f>
        <v>125000.0</v>
      </c>
    </row>
    <row r="19">
      <c r="A19" t="inlineStr" s="7">
        <is>
          <t xml:space="preserve">Tonik</t>
        </is>
      </c>
      <c r="B19" s="29">
        <f>SUMIF(Balance!$B$6:$B$19,A19,Balance!$F$6:$F$19)</f>
        <v>50000.0</v>
      </c>
    </row>
    <row r="20">
      <c r="A20" t="inlineStr" s="7">
        <is>
          <t xml:space="preserve">Banko</t>
        </is>
      </c>
      <c r="B20" s="29">
        <f>SUMIF(Balance!$B$6:$B$19,A20,Balance!$F$6:$F$19)</f>
        <v>15062.5</v>
      </c>
    </row>
    <row r="21">
      <c r="A21" t="inlineStr" s="7">
        <is>
          <t xml:space="preserve">CIMB</t>
        </is>
      </c>
      <c r="B21" s="29">
        <f>SUMIF(Balance!$B$6:$B$19,A21,Balance!$F$6:$F$19)</f>
        <v>10000.0</v>
      </c>
    </row>
    <row r="22">
      <c r="A22" t="inlineStr" s="7">
        <is>
          <t xml:space="preserve">GoTyme</t>
        </is>
      </c>
      <c r="B22" s="29">
        <f>SUMIF(Balance!$B$6:$B$19,A22,Balance!$F$6:$F$19)</f>
        <v>12000.0</v>
      </c>
    </row>
    <row r="23">
      <c r="A23" t="inlineStr" s="7">
        <is>
          <t xml:space="preserve">Maribank</t>
        </is>
      </c>
      <c r="B23" s="29">
        <f>SUMIF(Balance!$B$6:$B$19,A23,Balance!$F$6:$F$19)</f>
        <v>8000.0</v>
      </c>
    </row>
    <row r="24">
      <c r="A24" t="inlineStr" s="15">
        <is>
          <t xml:space="preserve">Total</t>
        </is>
      </c>
      <c r="B24" s="16">
        <f>SUM(B17:B23)</f>
        <v>493062.5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15062.5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15125.39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2491.74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15188.54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2505.34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15251.95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2519.03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15315.63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2532.8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15379.57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2546.64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15443.78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2560.57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15508.26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2574.59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15573.01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2588.68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15638.03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2602.86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15703.32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2617.12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15768.88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2631.46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15834.72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2645.89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15900.83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2660.4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15967.21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2675.0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16033.88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2689.69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16100.82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2704.46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16168.04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2719.32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16235.55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2734.27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16303.33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2749.31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16371.4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2764.43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16439.75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2779.65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16508.39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2794.95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16577.31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2810.35</v>
      </c>
    </row>
  </sheetData>
  <mergeCells count="27">
    <mergeCell ref="A1:M1"/>
    <mergeCell ref="A2:B2"/>
    <mergeCell ref="C2:D2"/>
    <mergeCell ref="E2:F2"/>
    <mergeCell ref="G2:H2"/>
    <mergeCell ref="I2:J2"/>
    <mergeCell ref="A3:M3"/>
    <mergeCell ref="A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46193</v>
      </c>
      <c r="B7" t="inlineStr" s="21">
        <is>
          <t xml:space="preserve">Interest</t>
        </is>
      </c>
      <c r="C7" t="inlineStr" s="21">
        <is>
          <t xml:space="preserve">Banko</t>
        </is>
      </c>
      <c r="D7" t="inlineStr" s="21">
        <is>
          <t xml:space="preserve">Banko - Savings</t>
        </is>
      </c>
      <c r="E7" s="19">
        <v>62.5</v>
      </c>
      <c r="F7" t="inlineStr" s="21">
        <is>
          <t xml:space="preserve">Interest posting (example)</t>
        </is>
      </c>
    </row>
    <row r="8">
      <c r="A8" s="20">
        <v>46198</v>
      </c>
      <c r="B8" t="inlineStr" s="21">
        <is>
          <t xml:space="preserve">Transfer</t>
        </is>
      </c>
      <c r="C8" t="inlineStr" s="21">
        <is>
          <t xml:space="preserve">UNO</t>
        </is>
      </c>
      <c r="D8" t="inlineStr" s="21">
        <is>
          <t xml:space="preserve">UNO - Digi Savings</t>
        </is>
      </c>
      <c r="E8" s="19">
        <v>5000</v>
      </c>
      <c r="F8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8" customWidth="1"/>
    <col min="9" max="9" width="10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per account = Deposits + Net Transactions. Projected columns include compounding interest from the Interest tab.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(1 Yr)</t>
        </is>
      </c>
      <c r="H5" t="inlineStr" s="6">
        <is>
          <t xml:space="preserve">Proj. Balance (1 Yr)</t>
        </is>
      </c>
      <c r="I5" s="6"/>
      <c r="J5" s="6"/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8">
        <f>IFERROR(VLOOKUP(C6,Interest!$D$6:$L$19,9,FALSE),0)</f>
        <v>5047.48</v>
      </c>
      <c r="H6" s="8">
        <f>F6+G6</f>
        <v>53047.48</v>
      </c>
      <c r="I6" s="21"/>
      <c r="J6" s="21"/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8">
        <f>IFERROR(VLOOKUP(C7,Interest!$D$6:$L$19,9,FALSE),0)</f>
        <v>6167.78</v>
      </c>
      <c r="H7" s="8">
        <f>F7+G7</f>
        <v>106167.78</v>
      </c>
      <c r="I7" s="21"/>
      <c r="J7" s="21"/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8">
        <f>IFERROR(VLOOKUP(C8,Interest!$D$6:$L$19,9,FALSE),0)</f>
        <v>6167.78</v>
      </c>
      <c r="H8" s="8">
        <f>F8+G8</f>
        <v>106167.78</v>
      </c>
      <c r="I8" s="21"/>
      <c r="J8" s="21"/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8">
        <f>IFERROR(VLOOKUP(C9,Interest!$D$6:$L$19,9,FALSE),0)</f>
        <v>1436.5</v>
      </c>
      <c r="H9" s="8">
        <f>F9+G9</f>
        <v>26436.5</v>
      </c>
      <c r="I9" s="21"/>
      <c r="J9" s="21"/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8">
        <f>IFERROR(VLOOKUP(C10,Interest!$D$6:$L$19,9,FALSE),0)</f>
        <v>890.45</v>
      </c>
      <c r="H10" s="8">
        <f>F10+G10</f>
        <v>25890.45</v>
      </c>
      <c r="I10" s="21"/>
      <c r="J10" s="21"/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8">
        <f>IFERROR(VLOOKUP(C11,Interest!$D$6:$L$19,9,FALSE),0)</f>
        <v>3083.89</v>
      </c>
      <c r="H11" s="8">
        <f>F11+G11</f>
        <v>53083.89</v>
      </c>
      <c r="I11" s="21"/>
      <c r="J11" s="21"/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8">
        <f>IFERROR(VLOOKUP(C12,Interest!$D$6:$L$19,9,FALSE),0)</f>
        <v>3083.89</v>
      </c>
      <c r="H12" s="8">
        <f>F12+G12</f>
        <v>53083.89</v>
      </c>
      <c r="I12" s="21"/>
      <c r="J12" s="21"/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8">
        <f>IFERROR(VLOOKUP(C13,Interest!$D$6:$L$19,9,FALSE),0)</f>
        <v>407.42</v>
      </c>
      <c r="H13" s="8">
        <f>F13+G13</f>
        <v>10407.42</v>
      </c>
      <c r="I13" s="21"/>
      <c r="J13" s="21"/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8">
        <f>IFERROR(VLOOKUP(C14,Interest!$D$6:$L$19,9,FALSE),0)</f>
        <v>407.42</v>
      </c>
      <c r="H14" s="8">
        <f>F14+G14</f>
        <v>10407.42</v>
      </c>
      <c r="I14" s="21"/>
      <c r="J14" s="21"/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8">
        <f>IFERROR(VLOOKUP(C15,Interest!$D$6:$L$19,9,FALSE),0)</f>
        <v>2489.99</v>
      </c>
      <c r="H15" s="8">
        <f>F15+G15</f>
        <v>32489.99</v>
      </c>
      <c r="I15" s="21"/>
      <c r="J15" s="21"/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62.5</v>
      </c>
      <c r="F16" s="8">
        <f>D16+E16</f>
        <v>15062.5</v>
      </c>
      <c r="G16" s="8">
        <f>IFERROR(VLOOKUP(C16,Interest!$D$6:$L$19,9,FALSE),0)</f>
        <v>772.22</v>
      </c>
      <c r="H16" s="8">
        <f>F16+G16</f>
        <v>15834.72</v>
      </c>
      <c r="I16" s="21"/>
      <c r="J16" s="21"/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8">
        <f>IFERROR(VLOOKUP(C17,Interest!$D$6:$L$19,9,FALSE),0)</f>
        <v>232.66</v>
      </c>
      <c r="H17" s="8">
        <f>F17+G17</f>
        <v>10232.66</v>
      </c>
      <c r="I17" s="21"/>
      <c r="J17" s="21"/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8">
        <f>IFERROR(VLOOKUP(C18,Interest!$D$6:$L$19,9,FALSE),0)</f>
        <v>364.99</v>
      </c>
      <c r="H18" s="8">
        <f>F18+G18</f>
        <v>12364.99</v>
      </c>
      <c r="I18" s="21"/>
      <c r="J18" s="21"/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8">
        <f>IFERROR(VLOOKUP(C19,Interest!$D$6:$L$19,9,FALSE),0)</f>
        <v>264.26</v>
      </c>
      <c r="H19" s="8">
        <f>F19+G19</f>
        <v>8264.26</v>
      </c>
      <c r="I19" s="21"/>
      <c r="J19" s="21"/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3062.5</v>
      </c>
      <c r="F20" s="16">
        <f>SUM(F6:F19)</f>
        <v>493062.5</v>
      </c>
      <c r="G20" s="16">
        <f>SUM(G6:G19)</f>
        <v>30816.71</v>
      </c>
      <c r="H20" s="16">
        <f>SUM(H6:H19)</f>
        <v>523879.21</v>
      </c>
      <c r="I20" s="16"/>
      <c r="J20" s="16"/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4" customWidth="1"/>
    <col min="5" max="5" width="11" customWidth="1"/>
    <col min="6" max="6" width="11" customWidth="1"/>
    <col min="7" max="7" width="16" customWidth="1"/>
    <col min="8" max="8" width="12" customWidth="1"/>
    <col min="9" max="9" width="16" customWidth="1"/>
    <col min="10" max="10" width="11" customWidth="1"/>
    <col min="11" max="11" width="18" customWidth="1"/>
    <col min="12" max="12" width="16" customWidth="1"/>
    <col min="13" max="13" width="13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</row>
    <row r="3" ht="22" customHeight="1">
      <c r="A3" t="inlineStr" s="5">
        <is>
          <t xml:space="preserve">Interest rates &amp; auto-calculated earnings. Daily accounts compound daily (rate/365); monthly accounts compound monthly (rate/12). Maya Savings overridden to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📈 Interest Rates &amp; Earnings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15062.5</v>
      </c>
      <c r="H16" s="9">
        <f>IF(F16="Daily",E16/365,E16/12)</f>
        <v>0.00013699</v>
      </c>
      <c r="I16" s="8">
        <f>G16*H16</f>
        <v>2.06</v>
      </c>
      <c r="J16" s="10">
        <f>IF(F16="Daily",365,12)</f>
        <v>365</v>
      </c>
      <c r="K16" s="8">
        <f>G16*(1+H16)^J16</f>
        <v>15834.72</v>
      </c>
      <c r="L16" s="8">
        <f>K16-G16</f>
        <v>772.22</v>
      </c>
      <c r="M16" s="9">
        <f>IF(F16="Daily",(1+E16/365)^(365/12),1+E16/12)</f>
        <v>1.00417507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493062.5</v>
      </c>
      <c r="H20" s="15"/>
      <c r="I20" s="16">
        <f>SUM(I6:I19)</f>
        <v>1932.29</v>
      </c>
      <c r="J20" s="15"/>
      <c r="K20" s="16">
        <f>SUM(K6:K19)</f>
        <v>523879.21</v>
      </c>
      <c r="L20" s="16">
        <f>SUM(L6:L19)</f>
        <v>30816.71</v>
      </c>
      <c r="M20" s="15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