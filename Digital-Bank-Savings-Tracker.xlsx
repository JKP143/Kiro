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definedNames>
    <definedName name="BankList">Dashboard!$A$17:$A$23</definedName>
    <definedName name="AccountList">Interest!$D$6:$D$19</definedName>
  </definedNames>
  <calcPr calcId="191029" calcMode="auto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5" borderId="0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  <xf numFmtId="14" fontId="0" fillId="6" borderId="1" xfId="0" applyFont="1" applyFill="1" applyBorder="1" applyNumberFormat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2225" cap="rnd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2225" cap="rnd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2225" cap="rnd">
              <a:solidFill>
                <a:srgbClr val="70AD47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2225" cap="rnd">
              <a:solidFill>
                <a:srgbClr val="FFC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2225" cap="rnd">
              <a:solidFill>
                <a:srgbClr val="595959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222"/>
        <c:lblOffset val="100"/>
        <c:tickLblSkip val="1"/>
        <c:tickMarkSkip val="1"/>
        <c:noMultiLvlLbl val="0"/>
      </c:catAx>
      <c:valAx>
        <c:axId val="222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Cumulative Balance</a:t>
                </a:r>
              </a:p>
            </c:rich>
          </c:tx>
          <c:overlay val="0"/>
        </c:title>
        <c:numFmt formatCode="[$₱-3409]#,##0" sourceLinked="0"/>
        <c:crossAx val="111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274565.82</c:v>
                </c:pt>
                <c:pt idx="1">
                  <c:v>125581.64</c:v>
                </c:pt>
                <c:pt idx="2">
                  <c:v>50266.67</c:v>
                </c:pt>
                <c:pt idx="3">
                  <c:v>15070.02</c:v>
                </c:pt>
                <c:pt idx="4">
                  <c:v>10021.45</c:v>
                </c:pt>
                <c:pt idx="5">
                  <c:v>12030.0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FFC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95959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4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444"/>
        <c:lblOffset val="100"/>
        <c:tickLblSkip val="1"/>
        <c:tickMarkSkip val="1"/>
        <c:noMultiLvlLbl val="0"/>
      </c:catAx>
      <c:valAx>
        <c:axId val="444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Interest Earned</a:t>
                </a:r>
              </a:p>
            </c:rich>
          </c:tx>
          <c:overlay val="0"/>
        </c:title>
        <c:numFmt formatCode="[$₱-3409]#,##0" sourceLinked="0"/>
        <c:crossAx val="333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205" totalsRowShown="0">
  <autoFilter ref="A5:F20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0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5" t="str">
        <f>"Figures as of "&amp;TEXT(TODAY(),"mmm d, yyyy")</f>
        <v>Figures as of today</v>
      </c>
      <c r="J4" s="25"/>
      <c r="K4" s="25"/>
      <c r="L4" s="25"/>
      <c r="M4" s="25"/>
    </row>
    <row r="5" ht="18" customHeight="1">
      <c r="A5" t="inlineStr" s="26">
        <is>
          <t xml:space="preserve">Total Balance Today (incl. interest)</t>
        </is>
      </c>
      <c r="B5" s="26"/>
      <c r="C5" s="26"/>
      <c r="D5" s="26"/>
      <c r="E5" s="27">
        <f>SUM(Balance!$H$6:$H$19)</f>
        <v>495559.84</v>
      </c>
      <c r="F5" s="27"/>
      <c r="G5" s="27"/>
      <c r="H5" s="27"/>
    </row>
    <row r="6" ht="18" customHeight="1">
      <c r="A6" t="inlineStr" s="26">
        <is>
          <t xml:space="preserve">Total Deposited (All-Time)</t>
        </is>
      </c>
      <c r="B6" s="26"/>
      <c r="C6" s="26"/>
      <c r="D6" s="26"/>
      <c r="E6" s="27">
        <f>SUM(Balance!$D$6:$D$19)</f>
        <v>490000.0</v>
      </c>
      <c r="F6" s="27"/>
      <c r="G6" s="27"/>
      <c r="H6" s="27"/>
    </row>
    <row r="7" ht="18" customHeight="1">
      <c r="A7" t="inlineStr" s="26">
        <is>
          <t xml:space="preserve">Interest Earned to Date (auto)</t>
        </is>
      </c>
      <c r="B7" s="26"/>
      <c r="C7" s="26"/>
      <c r="D7" s="26"/>
      <c r="E7" s="27">
        <f>SUM(Balance!$G$6:$G$19)</f>
        <v>2559.84</v>
      </c>
      <c r="F7" s="27"/>
      <c r="G7" s="27"/>
      <c r="H7" s="27"/>
    </row>
    <row r="8" ht="18" customHeight="1">
      <c r="A8" t="inlineStr" s="26">
        <is>
          <t xml:space="preserve">Total Withdrawn</t>
        </is>
      </c>
      <c r="B8" s="26"/>
      <c r="C8" s="26"/>
      <c r="D8" s="26"/>
      <c r="E8" s="27">
        <f>-SUMIFS(Transactions!$E$6:$E$205,Transactions!$B$6:$B$205,"Withdrawal")</f>
        <v>2000</v>
      </c>
      <c r="F8" s="27"/>
      <c r="G8" s="27"/>
      <c r="H8" s="27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6">
        <is>
          <t xml:space="preserve">Your Savings Goal Target</t>
        </is>
      </c>
      <c r="B11" s="26"/>
      <c r="C11" s="26"/>
      <c r="D11" s="26"/>
      <c r="E11" s="29">
        <v>100000</v>
      </c>
      <c r="F11" s="29"/>
      <c r="G11" s="29"/>
      <c r="H11" s="29"/>
    </row>
    <row r="12" ht="18" customHeight="1">
      <c r="A12" t="inlineStr" s="26">
        <is>
          <t xml:space="preserve">Maya Personal Goal — Balance Today</t>
        </is>
      </c>
      <c r="B12" s="26"/>
      <c r="C12" s="26"/>
      <c r="D12" s="26"/>
      <c r="E12" s="27">
        <f>IFERROR(VLOOKUP("Maya - Personal Goal",Balance!$C$6:$H$19,6,FALSE),0)</f>
        <v>25116.67</v>
      </c>
      <c r="F12" s="27"/>
      <c r="G12" s="27"/>
      <c r="H12" s="27"/>
    </row>
    <row r="13" ht="18" customHeight="1">
      <c r="A13" t="inlineStr" s="26">
        <is>
          <t xml:space="preserve">Progress Toward Goal</t>
        </is>
      </c>
      <c r="B13" s="26"/>
      <c r="C13" s="26"/>
      <c r="D13" s="26"/>
      <c r="E13" s="28">
        <f>IFERROR(E12/E11,0)</f>
        <v>0.2512</v>
      </c>
      <c r="F13" s="28"/>
      <c r="G13" s="28"/>
      <c r="H13" s="28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30">
        <f>SUMIF(Balance!$A$6:$A$19,A17,Balance!$H$6:$H$19)</f>
        <v>274565.82</v>
      </c>
    </row>
    <row r="18">
      <c r="A18" t="inlineStr" s="7">
        <is>
          <t xml:space="preserve">UNO</t>
        </is>
      </c>
      <c r="B18" s="30">
        <f>SUMIF(Balance!$A$6:$A$19,A18,Balance!$H$6:$H$19)</f>
        <v>125581.64</v>
      </c>
    </row>
    <row r="19">
      <c r="A19" t="inlineStr" s="7">
        <is>
          <t xml:space="preserve">Tonik</t>
        </is>
      </c>
      <c r="B19" s="30">
        <f>SUMIF(Balance!$A$6:$A$19,A19,Balance!$H$6:$H$19)</f>
        <v>50266.67</v>
      </c>
    </row>
    <row r="20">
      <c r="A20" t="inlineStr" s="7">
        <is>
          <t xml:space="preserve">Banko</t>
        </is>
      </c>
      <c r="B20" s="30">
        <f>SUMIF(Balance!$A$6:$A$19,A20,Balance!$H$6:$H$19)</f>
        <v>15070.02</v>
      </c>
    </row>
    <row r="21">
      <c r="A21" t="inlineStr" s="7">
        <is>
          <t xml:space="preserve">CIMB</t>
        </is>
      </c>
      <c r="B21" s="30">
        <f>SUMIF(Balance!$A$6:$A$19,A21,Balance!$H$6:$H$19)</f>
        <v>10021.45</v>
      </c>
    </row>
    <row r="22">
      <c r="A22" t="inlineStr" s="7">
        <is>
          <t xml:space="preserve">GoTyme</t>
        </is>
      </c>
      <c r="B22" s="30">
        <f>SUMIF(Balance!$A$6:$A$19,A22,Balance!$H$6:$H$19)</f>
        <v>12030.0</v>
      </c>
    </row>
    <row r="23">
      <c r="A23" t="inlineStr" s="7">
        <is>
          <t xml:space="preserve">Maribank</t>
        </is>
      </c>
      <c r="B23" s="30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495559.84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9">
    <mergeCell ref="A1:M1"/>
    <mergeCell ref="A2:B2"/>
    <mergeCell ref="C2:D2"/>
    <mergeCell ref="E2:F2"/>
    <mergeCell ref="G2:H2"/>
    <mergeCell ref="I2:J2"/>
    <mergeCell ref="A3:M3"/>
    <mergeCell ref="A4:H4"/>
    <mergeCell ref="I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conditionalFormatting sqref="E13">
    <cfRule type="dataBar" priority="1">
      <dataBar>
        <cfvo type="num" val="0"/>
        <cfvo type="num" val="1"/>
        <color rgb="FF63C384"/>
      </dataBar>
    </cfRule>
  </conditionalFormatting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2">
    <dataValidation type="list" allowBlank="1" showInputMessage="1" showErrorMessage="1" promptTitle="Pick a bank" prompt="Choose the bank from the drop-down list." sqref="B6:B205">
      <formula1>BankList</formula1>
    </dataValidation>
    <dataValidation type="list" allowBlank="1" showInputMessage="1" showErrorMessage="1" promptTitle="Pick an account" prompt="Choose the account from the drop-down list so the balance matches correctly." sqref="C6:C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All money movements: deposits, withdrawals, transfers and interest postings. Use negative amounts for money out. Filter by any column.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(use the filter arrows to search / sort)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  <c r="G5" s="6"/>
      <c r="H5" s="6"/>
      <c r="I5" s="6"/>
      <c r="J5" s="6"/>
      <c r="K5" s="6"/>
      <c r="L5" s="6"/>
      <c r="M5" s="6"/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46198</v>
      </c>
      <c r="B7" t="inlineStr" s="21">
        <is>
          <t xml:space="preserve">Transfer</t>
        </is>
      </c>
      <c r="C7" t="inlineStr" s="21">
        <is>
          <t xml:space="preserve">UNO</t>
        </is>
      </c>
      <c r="D7" t="inlineStr" s="21">
        <is>
          <t xml:space="preserve">UNO - Digi Savings</t>
        </is>
      </c>
      <c r="E7" s="19">
        <v>5000</v>
      </c>
      <c r="F7" t="inlineStr" s="21">
        <is>
          <t xml:space="preserve">Transfer in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3">
    <dataValidation type="list" allowBlank="1" showInputMessage="1" showErrorMessage="1" promptTitle="Pick a type" prompt="Choose the transaction type. (Interest is added automatically - no need to record it here.)" sqref="B6:B205">
      <formula1>"Deposit,Withdrawal,Transfer,Adjustment,Fee"</formula1>
    </dataValidation>
    <dataValidation type="list" allowBlank="1" showInputMessage="1" showErrorMessage="1" promptTitle="Pick a bank" prompt="Choose the bank from the drop-down list." sqref="C6:C205">
      <formula1>BankList</formula1>
    </dataValidation>
    <dataValidation type="list" allowBlank="1" showInputMessage="1" showErrorMessage="1" promptTitle="Pick an account" prompt="Choose the account from the drop-down list." sqref="D6:D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Balance Today grows automatically with interest each day/month. Current Balance = Deposits + Net Transactions (money you moved); Balance Today adds the interest accrued up to today.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Current Balance</t>
        </is>
      </c>
      <c r="G5" t="inlineStr" s="6">
        <is>
          <t xml:space="preserve">Interest to Date</t>
        </is>
      </c>
      <c r="H5" t="inlineStr" s="6">
        <is>
          <t xml:space="preserve">Balance Today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SUMIFS(Transactions!$E$6:$E$205,Transactions!$D$6:$D$205,C6)</f>
        <v>-2000.0</v>
      </c>
      <c r="F6" s="8">
        <f>D6+E6</f>
        <v>48000.0</v>
      </c>
      <c r="G6" s="23">
        <f>IFERROR(VLOOKUP(C6,Interest!$D$6:$Q$19,13,FALSE),0)</f>
        <v>449.15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SUMIFS(Transactions!$E$6:$E$205,Transactions!$D$6:$D$205,C7)</f>
        <v>0.0</v>
      </c>
      <c r="F7" s="8">
        <f>D7+E7</f>
        <v>100000.0</v>
      </c>
      <c r="G7" s="23">
        <f>IFERROR(VLOOKUP(C7,Interest!$D$6:$Q$19,13,FALSE),0)</f>
        <v>500.0</v>
      </c>
      <c r="H7" s="23">
        <f>IFERROR(VLOOKUP(C7,Interest!$D$6:$Q$19,14,FALSE),0)</f>
        <v>100500.0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SUMIFS(Transactions!$E$6:$E$205,Transactions!$D$6:$D$205,C8)</f>
        <v>0.0</v>
      </c>
      <c r="F8" s="8">
        <f>D8+E8</f>
        <v>100000.0</v>
      </c>
      <c r="G8" s="23">
        <f>IFERROR(VLOOKUP(C8,Interest!$D$6:$Q$19,13,FALSE),0)</f>
        <v>500.0</v>
      </c>
      <c r="H8" s="23">
        <f>IFERROR(VLOOKUP(C8,Interest!$D$6:$Q$19,14,FALSE),0)</f>
        <v>100500.0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SUMIFS(Transactions!$E$6:$E$205,Transactions!$D$6:$D$205,C9)</f>
        <v>0.0</v>
      </c>
      <c r="F9" s="8">
        <f>D9+E9</f>
        <v>25000.0</v>
      </c>
      <c r="G9" s="23">
        <f>IFERROR(VLOOKUP(C9,Interest!$D$6:$Q$19,13,FALSE),0)</f>
        <v>116.67</v>
      </c>
      <c r="H9" s="23">
        <f>IFERROR(VLOOKUP(C9,Interest!$D$6:$Q$19,14,FALSE),0)</f>
        <v>25116.67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SUMIFS(Transactions!$E$6:$E$205,Transactions!$D$6:$D$205,C10)</f>
        <v>5000.0</v>
      </c>
      <c r="F10" s="8">
        <f>D10+E10</f>
        <v>25000.0</v>
      </c>
      <c r="G10" s="23">
        <f>IFERROR(VLOOKUP(C10,Interest!$D$6:$Q$19,13,FALSE),0)</f>
        <v>81.64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SUMIFS(Transactions!$E$6:$E$205,Transactions!$D$6:$D$205,C11)</f>
        <v>0.0</v>
      </c>
      <c r="F11" s="8">
        <f>D11+E11</f>
        <v>50000.0</v>
      </c>
      <c r="G11" s="23">
        <f>IFERROR(VLOOKUP(C11,Interest!$D$6:$Q$19,13,FALSE),0)</f>
        <v>250.0</v>
      </c>
      <c r="H11" s="23">
        <f>IFERROR(VLOOKUP(C11,Interest!$D$6:$Q$19,14,FALSE),0)</f>
        <v>50250.0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SUMIFS(Transactions!$E$6:$E$205,Transactions!$D$6:$D$205,C12)</f>
        <v>0.0</v>
      </c>
      <c r="F12" s="8">
        <f>D12+E12</f>
        <v>50000.0</v>
      </c>
      <c r="G12" s="23">
        <f>IFERROR(VLOOKUP(C12,Interest!$D$6:$Q$19,13,FALSE),0)</f>
        <v>250.0</v>
      </c>
      <c r="H12" s="23">
        <f>IFERROR(VLOOKUP(C12,Interest!$D$6:$Q$19,14,FALSE),0)</f>
        <v>50250.0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SUMIFS(Transactions!$E$6:$E$205,Transactions!$D$6:$D$205,C13)</f>
        <v>0.0</v>
      </c>
      <c r="F13" s="8">
        <f>D13+E13</f>
        <v>10000.0</v>
      </c>
      <c r="G13" s="23">
        <f>IFERROR(VLOOKUP(C13,Interest!$D$6:$Q$19,13,FALSE),0)</f>
        <v>33.33</v>
      </c>
      <c r="H13" s="23">
        <f>IFERROR(VLOOKUP(C13,Interest!$D$6:$Q$19,14,FALSE),0)</f>
        <v>10033.33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SUMIFS(Transactions!$E$6:$E$205,Transactions!$D$6:$D$205,C14)</f>
        <v>0.0</v>
      </c>
      <c r="F14" s="8">
        <f>D14+E14</f>
        <v>10000.0</v>
      </c>
      <c r="G14" s="23">
        <f>IFERROR(VLOOKUP(C14,Interest!$D$6:$Q$19,13,FALSE),0)</f>
        <v>33.33</v>
      </c>
      <c r="H14" s="23">
        <f>IFERROR(VLOOKUP(C14,Interest!$D$6:$Q$19,14,FALSE),0)</f>
        <v>10033.33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SUMIFS(Transactions!$E$6:$E$205,Transactions!$D$6:$D$205,C15)</f>
        <v>0.0</v>
      </c>
      <c r="F15" s="8">
        <f>D15+E15</f>
        <v>30000.0</v>
      </c>
      <c r="G15" s="23">
        <f>IFERROR(VLOOKUP(C15,Interest!$D$6:$Q$19,13,FALSE),0)</f>
        <v>200.0</v>
      </c>
      <c r="H15" s="23">
        <f>IFERROR(VLOOKUP(C15,Interest!$D$6:$Q$19,14,FALSE),0)</f>
        <v>30200.0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SUMIFS(Transactions!$E$6:$E$205,Transactions!$D$6:$D$205,C16)</f>
        <v>0.0</v>
      </c>
      <c r="F16" s="8">
        <f>D16+E16</f>
        <v>15000.0</v>
      </c>
      <c r="G16" s="23">
        <f>IFERROR(VLOOKUP(C16,Interest!$D$6:$Q$19,13,FALSE),0)</f>
        <v>70.02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SUMIFS(Transactions!$E$6:$E$205,Transactions!$D$6:$D$205,C17)</f>
        <v>0.0</v>
      </c>
      <c r="F17" s="8">
        <f>D17+E17</f>
        <v>10000.0</v>
      </c>
      <c r="G17" s="23">
        <f>IFERROR(VLOOKUP(C17,Interest!$D$6:$Q$19,13,FALSE),0)</f>
        <v>21.45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SUMIFS(Transactions!$E$6:$E$205,Transactions!$D$6:$D$205,C18)</f>
        <v>0.0</v>
      </c>
      <c r="F18" s="8">
        <f>D18+E18</f>
        <v>12000.0</v>
      </c>
      <c r="G18" s="23">
        <f>IFERROR(VLOOKUP(C18,Interest!$D$6:$Q$19,13,FALSE),0)</f>
        <v>30.0</v>
      </c>
      <c r="H18" s="23">
        <f>IFERROR(VLOOKUP(C18,Interest!$D$6:$Q$19,14,FALSE),0)</f>
        <v>12030.0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SUMIFS(Transactions!$E$6:$E$205,Transactions!$D$6:$D$205,C19)</f>
        <v>0.0</v>
      </c>
      <c r="F19" s="8">
        <f>D19+E19</f>
        <v>8000.0</v>
      </c>
      <c r="G19" s="23">
        <f>IFERROR(VLOOKUP(C19,Interest!$D$6:$Q$19,13,FALSE),0)</f>
        <v>24.25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2559.84</v>
      </c>
      <c r="H20" s="16">
        <f>SUM(H6:H19)</f>
        <v>495559.84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2" customWidth="1"/>
    <col min="5" max="5" width="11" customWidth="1"/>
    <col min="6" max="6" width="11" customWidth="1"/>
    <col min="7" max="7" width="15" customWidth="1"/>
    <col min="8" max="8" width="11" hidden="1" customWidth="1"/>
    <col min="9" max="9" width="15" customWidth="1"/>
    <col min="10" max="10" width="10" hidden="1" customWidth="1"/>
    <col min="11" max="11" width="16" customWidth="1"/>
    <col min="12" max="12" width="15" customWidth="1"/>
    <col min="13" max="13" width="12" hidden="1" customWidth="1"/>
    <col min="14" max="14" width="13" customWidth="1"/>
    <col min="15" max="15" width="12" hidden="1" customWidth="1"/>
    <col min="16" max="16" width="16" customWidth="1"/>
    <col min="17" max="17" width="16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</row>
    <row r="3" ht="22" customHeight="1">
      <c r="A3" t="inlineStr" s="5">
        <is>
          <t xml:space="preserve">Interest auto-calculates and GROWS ON ITS OWN. 'Balance Today' accrues from the yellow 'Interest Start' date up to TODAY() every time you open the file - daily accounts step up each day, monthly accounts each month. Interest Start is pre-filled with your first deposit date; edit it if an account started elsewhere.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Period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Periods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G6*H6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  <c r="N6" s="32">
        <v>46174</v>
      </c>
      <c r="O6" s="10">
        <f>IF(ISNUMBER(N6),IF(F6="Daily",MAX(0,TODAY()-N6),MAX(0,DATEDIF(N6,TODAY(),"m"))),0)</f>
        <v>34</v>
      </c>
      <c r="P6" s="8">
        <f>G6*((1+H6)^O6-1)</f>
        <v>449.15</v>
      </c>
      <c r="Q6" s="8">
        <f>G6+P6</f>
        <v>48449.15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G7*H7</f>
        <v>500.0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  <c r="N7" s="32">
        <v>46174</v>
      </c>
      <c r="O7" s="10">
        <f>IF(ISNUMBER(N7),IF(F7="Daily",MAX(0,TODAY()-N7),MAX(0,DATEDIF(N7,TODAY(),"m"))),0)</f>
        <v>1</v>
      </c>
      <c r="P7" s="8">
        <f>G7*((1+H7)^O7-1)</f>
        <v>500.0</v>
      </c>
      <c r="Q7" s="8">
        <f>G7+P7</f>
        <v>100500.0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G8*H8</f>
        <v>500.0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  <c r="N8" s="32">
        <v>46174</v>
      </c>
      <c r="O8" s="10">
        <f>IF(ISNUMBER(N8),IF(F8="Daily",MAX(0,TODAY()-N8),MAX(0,DATEDIF(N8,TODAY(),"m"))),0)</f>
        <v>1</v>
      </c>
      <c r="P8" s="8">
        <f>G8*((1+H8)^O8-1)</f>
        <v>500.0</v>
      </c>
      <c r="Q8" s="8">
        <f>G8+P8</f>
        <v>100500.0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G9*H9</f>
        <v>116.67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  <c r="N9" s="32">
        <v>46174</v>
      </c>
      <c r="O9" s="10">
        <f>IF(ISNUMBER(N9),IF(F9="Daily",MAX(0,TODAY()-N9),MAX(0,DATEDIF(N9,TODAY(),"m"))),0)</f>
        <v>1</v>
      </c>
      <c r="P9" s="8">
        <f>G9*((1+H9)^O9-1)</f>
        <v>116.67</v>
      </c>
      <c r="Q9" s="8">
        <f>G9+P9</f>
        <v>25116.67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G10*H10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  <c r="N10" s="32">
        <v>46174</v>
      </c>
      <c r="O10" s="10">
        <f>IF(ISNUMBER(N10),IF(F10="Daily",MAX(0,TODAY()-N10),MAX(0,DATEDIF(N10,TODAY(),"m"))),0)</f>
        <v>34</v>
      </c>
      <c r="P10" s="8">
        <f>G10*((1+H10)^O10-1)</f>
        <v>81.64</v>
      </c>
      <c r="Q10" s="8">
        <f>G10+P10</f>
        <v>25081.64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G11*H11</f>
        <v>250.0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  <c r="N11" s="32">
        <v>46174</v>
      </c>
      <c r="O11" s="10">
        <f>IF(ISNUMBER(N11),IF(F11="Daily",MAX(0,TODAY()-N11),MAX(0,DATEDIF(N11,TODAY(),"m"))),0)</f>
        <v>1</v>
      </c>
      <c r="P11" s="8">
        <f>G11*((1+H11)^O11-1)</f>
        <v>250.0</v>
      </c>
      <c r="Q11" s="8">
        <f>G11+P11</f>
        <v>50250.0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G12*H12</f>
        <v>250.0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  <c r="N12" s="32">
        <v>46174</v>
      </c>
      <c r="O12" s="10">
        <f>IF(ISNUMBER(N12),IF(F12="Daily",MAX(0,TODAY()-N12),MAX(0,DATEDIF(N12,TODAY(),"m"))),0)</f>
        <v>1</v>
      </c>
      <c r="P12" s="8">
        <f>G12*((1+H12)^O12-1)</f>
        <v>250.0</v>
      </c>
      <c r="Q12" s="8">
        <f>G12+P12</f>
        <v>50250.0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G13*H13</f>
        <v>33.33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  <c r="N13" s="32">
        <v>46174</v>
      </c>
      <c r="O13" s="10">
        <f>IF(ISNUMBER(N13),IF(F13="Daily",MAX(0,TODAY()-N13),MAX(0,DATEDIF(N13,TODAY(),"m"))),0)</f>
        <v>1</v>
      </c>
      <c r="P13" s="8">
        <f>G13*((1+H13)^O13-1)</f>
        <v>33.33</v>
      </c>
      <c r="Q13" s="8">
        <f>G13+P13</f>
        <v>10033.33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G14*H14</f>
        <v>33.33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  <c r="N14" s="32">
        <v>46174</v>
      </c>
      <c r="O14" s="10">
        <f>IF(ISNUMBER(N14),IF(F14="Daily",MAX(0,TODAY()-N14),MAX(0,DATEDIF(N14,TODAY(),"m"))),0)</f>
        <v>1</v>
      </c>
      <c r="P14" s="8">
        <f>G14*((1+H14)^O14-1)</f>
        <v>33.33</v>
      </c>
      <c r="Q14" s="8">
        <f>G14+P14</f>
        <v>10033.33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G15*H15</f>
        <v>200.0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  <c r="N15" s="32">
        <v>46174</v>
      </c>
      <c r="O15" s="10">
        <f>IF(ISNUMBER(N15),IF(F15="Daily",MAX(0,TODAY()-N15),MAX(0,DATEDIF(N15,TODAY(),"m"))),0)</f>
        <v>1</v>
      </c>
      <c r="P15" s="8">
        <f>G15*((1+H15)^O15-1)</f>
        <v>200.0</v>
      </c>
      <c r="Q15" s="8">
        <f>G15+P15</f>
        <v>30200.0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G16*H16</f>
        <v>2.05</v>
      </c>
      <c r="J16" s="10">
        <f>IF(F16="Daily",365,12)</f>
        <v>365</v>
      </c>
      <c r="K16" s="8">
        <f>G16*(1+H16)^J16</f>
        <v>15769.01</v>
      </c>
      <c r="L16" s="8">
        <f>K16-G16</f>
        <v>769.01</v>
      </c>
      <c r="M16" s="9">
        <f>IF(F16="Daily",(1+E16/365)^(365/12),1+E16/12)</f>
        <v>1.00417507</v>
      </c>
      <c r="N16" s="32">
        <v>46174</v>
      </c>
      <c r="O16" s="10">
        <f>IF(ISNUMBER(N16),IF(F16="Daily",MAX(0,TODAY()-N16),MAX(0,DATEDIF(N16,TODAY(),"m"))),0)</f>
        <v>34</v>
      </c>
      <c r="P16" s="8">
        <f>G16*((1+H16)^O16-1)</f>
        <v>70.02</v>
      </c>
      <c r="Q16" s="8">
        <f>G16+P16</f>
        <v>15070.02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G17*H17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  <c r="N17" s="32">
        <v>46174</v>
      </c>
      <c r="O17" s="10">
        <f>IF(ISNUMBER(N17),IF(F17="Daily",MAX(0,TODAY()-N17),MAX(0,DATEDIF(N17,TODAY(),"m"))),0)</f>
        <v>34</v>
      </c>
      <c r="P17" s="8">
        <f>G17*((1+H17)^O17-1)</f>
        <v>21.45</v>
      </c>
      <c r="Q17" s="8">
        <f>G17+P17</f>
        <v>10021.45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G18*H18</f>
        <v>30.0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  <c r="N18" s="32">
        <v>46174</v>
      </c>
      <c r="O18" s="10">
        <f>IF(ISNUMBER(N18),IF(F18="Daily",MAX(0,TODAY()-N18),MAX(0,DATEDIF(N18,TODAY(),"m"))),0)</f>
        <v>1</v>
      </c>
      <c r="P18" s="8">
        <f>G18*((1+H18)^O18-1)</f>
        <v>30.0</v>
      </c>
      <c r="Q18" s="8">
        <f>G18+P18</f>
        <v>12030.0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G19*H19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  <c r="N19" s="32">
        <v>46174</v>
      </c>
      <c r="O19" s="10">
        <f>IF(ISNUMBER(N19),IF(F19="Daily",MAX(0,TODAY()-N19),MAX(0,DATEDIF(N19,TODAY(),"m"))),0)</f>
        <v>34</v>
      </c>
      <c r="P19" s="8">
        <f>G19*((1+H19)^O19-1)</f>
        <v>24.25</v>
      </c>
      <c r="Q19" s="8">
        <f>G19+P19</f>
        <v>8024.25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1932.28</v>
      </c>
      <c r="J20" s="15"/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2559.84</v>
      </c>
      <c r="Q20" s="16">
        <f>SUM(Q6:Q19)</f>
        <v>495559.84</v>
      </c>
    </row>
  </sheetData>
  <mergeCells count="8">
    <mergeCell ref="A1:Q1"/>
    <mergeCell ref="A2:B2"/>
    <mergeCell ref="C2:D2"/>
    <mergeCell ref="E2:F2"/>
    <mergeCell ref="G2:H2"/>
    <mergeCell ref="I2:J2"/>
    <mergeCell ref="A3:Q3"/>
    <mergeCell ref="A4:Q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