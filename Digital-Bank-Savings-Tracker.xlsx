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definedNames>
    <definedName name="BankList">Dashboard!$A$17:$A$23</definedName>
    <definedName name="AccountList">Interest!$D$6:$D$19</definedName>
  </definedNames>
  <calcPr calcId="191029" calcMode="auto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5" borderId="0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  <xf numFmtId="14" fontId="0" fillId="6" borderId="1" xfId="0" applyFont="1" applyFill="1" applyBorder="1" applyNumberFormat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2225" cap="rnd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2225" cap="rnd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2225" cap="rnd">
              <a:solidFill>
                <a:srgbClr val="70AD47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2225" cap="rnd">
              <a:solidFill>
                <a:srgbClr val="FFC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15000.0</c:v>
                </c:pt>
                <c:pt idx="1">
                  <c:v>15062.6261</c:v>
                </c:pt>
                <c:pt idx="2">
                  <c:v>15125.5137</c:v>
                </c:pt>
                <c:pt idx="3">
                  <c:v>15188.6638</c:v>
                </c:pt>
                <c:pt idx="4">
                  <c:v>15252.0775</c:v>
                </c:pt>
                <c:pt idx="5">
                  <c:v>15315.7561</c:v>
                </c:pt>
                <c:pt idx="6">
                  <c:v>15379.7005</c:v>
                </c:pt>
                <c:pt idx="7">
                  <c:v>15443.9118</c:v>
                </c:pt>
                <c:pt idx="8">
                  <c:v>15508.3913</c:v>
                </c:pt>
                <c:pt idx="9">
                  <c:v>15573.14</c:v>
                </c:pt>
                <c:pt idx="10">
                  <c:v>15638.159</c:v>
                </c:pt>
                <c:pt idx="11">
                  <c:v>15703.4494</c:v>
                </c:pt>
                <c:pt idx="12">
                  <c:v>15769.0124</c:v>
                </c:pt>
                <c:pt idx="13">
                  <c:v>15834.8492</c:v>
                </c:pt>
                <c:pt idx="14">
                  <c:v>15900.9609</c:v>
                </c:pt>
                <c:pt idx="15">
                  <c:v>15967.3485</c:v>
                </c:pt>
                <c:pt idx="16">
                  <c:v>16034.0134</c:v>
                </c:pt>
                <c:pt idx="17">
                  <c:v>16100.9566</c:v>
                </c:pt>
                <c:pt idx="18">
                  <c:v>16168.1792</c:v>
                </c:pt>
                <c:pt idx="19">
                  <c:v>16235.6825</c:v>
                </c:pt>
                <c:pt idx="20">
                  <c:v>16303.4677</c:v>
                </c:pt>
                <c:pt idx="21">
                  <c:v>16371.5359</c:v>
                </c:pt>
                <c:pt idx="22">
                  <c:v>16439.8882</c:v>
                </c:pt>
                <c:pt idx="23">
                  <c:v>16508.5259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2225" cap="rnd">
              <a:solidFill>
                <a:srgbClr val="7030A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2225" cap="rnd">
              <a:solidFill>
                <a:srgbClr val="595959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222"/>
        <c:lblOffset val="100"/>
        <c:tickLblSkip val="1"/>
        <c:tickMarkSkip val="1"/>
        <c:noMultiLvlLbl val="0"/>
      </c:catAx>
      <c:valAx>
        <c:axId val="222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Cumulative Balance</a:t>
                </a:r>
              </a:p>
            </c:rich>
          </c:tx>
          <c:overlay val="0"/>
        </c:title>
        <c:numFmt formatCode="[$₱-3409]#,##0" sourceLinked="0"/>
        <c:crossAx val="111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274565.82</c:v>
                </c:pt>
                <c:pt idx="1">
                  <c:v>125581.64</c:v>
                </c:pt>
                <c:pt idx="2">
                  <c:v>50266.67</c:v>
                </c:pt>
                <c:pt idx="3">
                  <c:v>15070.02</c:v>
                </c:pt>
                <c:pt idx="4">
                  <c:v>10021.45</c:v>
                </c:pt>
                <c:pt idx="5">
                  <c:v>12030.0</c:v>
                </c:pt>
                <c:pt idx="6">
                  <c:v>8024.25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FFC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62.6261</c:v>
                </c:pt>
                <c:pt idx="2">
                  <c:v>62.8876</c:v>
                </c:pt>
                <c:pt idx="3">
                  <c:v>63.1501</c:v>
                </c:pt>
                <c:pt idx="4">
                  <c:v>63.4138</c:v>
                </c:pt>
                <c:pt idx="5">
                  <c:v>63.6785</c:v>
                </c:pt>
                <c:pt idx="6">
                  <c:v>63.9444</c:v>
                </c:pt>
                <c:pt idx="7">
                  <c:v>64.2114</c:v>
                </c:pt>
                <c:pt idx="8">
                  <c:v>64.4795</c:v>
                </c:pt>
                <c:pt idx="9">
                  <c:v>64.7487</c:v>
                </c:pt>
                <c:pt idx="10">
                  <c:v>65.019</c:v>
                </c:pt>
                <c:pt idx="11">
                  <c:v>65.2905</c:v>
                </c:pt>
                <c:pt idx="12">
                  <c:v>65.563</c:v>
                </c:pt>
                <c:pt idx="13">
                  <c:v>65.8368</c:v>
                </c:pt>
                <c:pt idx="14">
                  <c:v>66.1116</c:v>
                </c:pt>
                <c:pt idx="15">
                  <c:v>66.3877</c:v>
                </c:pt>
                <c:pt idx="16">
                  <c:v>66.6648</c:v>
                </c:pt>
                <c:pt idx="17">
                  <c:v>66.9432</c:v>
                </c:pt>
                <c:pt idx="18">
                  <c:v>67.2227</c:v>
                </c:pt>
                <c:pt idx="19">
                  <c:v>67.5033</c:v>
                </c:pt>
                <c:pt idx="20">
                  <c:v>67.7852</c:v>
                </c:pt>
                <c:pt idx="21">
                  <c:v>68.0682</c:v>
                </c:pt>
                <c:pt idx="22">
                  <c:v>68.3524</c:v>
                </c:pt>
                <c:pt idx="23">
                  <c:v>68.6377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95959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4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444"/>
        <c:lblOffset val="100"/>
        <c:tickLblSkip val="1"/>
        <c:tickMarkSkip val="1"/>
        <c:noMultiLvlLbl val="0"/>
      </c:catAx>
      <c:valAx>
        <c:axId val="444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Interest Earned</a:t>
                </a:r>
              </a:p>
            </c:rich>
          </c:tx>
          <c:overlay val="0"/>
        </c:title>
        <c:numFmt formatCode="[$₱-3409]#,##0" sourceLinked="0"/>
        <c:crossAx val="333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45" totalsRowShown="0">
  <autoFilter ref="A5:F4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0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5" t="str">
        <f>"Figures as of "&amp;TEXT(TODAY(),"mmm d, yyyy")</f>
        <v>Figures as of today</v>
      </c>
      <c r="J4" s="25"/>
      <c r="K4" s="25"/>
      <c r="L4" s="25"/>
      <c r="M4" s="25"/>
    </row>
    <row r="5" ht="18" customHeight="1">
      <c r="A5" t="inlineStr" s="26">
        <is>
          <t xml:space="preserve">Total Current Balance (incl. interest)</t>
        </is>
      </c>
      <c r="B5" s="26"/>
      <c r="C5" s="26"/>
      <c r="D5" s="26"/>
      <c r="E5" s="27">
        <f>SUM(Balance!$H$6:$H$19)</f>
        <v>495559.84</v>
      </c>
      <c r="F5" s="27"/>
      <c r="G5" s="27"/>
      <c r="H5" s="27"/>
    </row>
    <row r="6" ht="18" customHeight="1">
      <c r="A6" t="inlineStr" s="26">
        <is>
          <t xml:space="preserve">Total Deposited (All-Time)</t>
        </is>
      </c>
      <c r="B6" s="26"/>
      <c r="C6" s="26"/>
      <c r="D6" s="26"/>
      <c r="E6" s="27">
        <f>SUM(Balance!$D$6:$D$19)</f>
        <v>490000.0</v>
      </c>
      <c r="F6" s="27"/>
      <c r="G6" s="27"/>
      <c r="H6" s="27"/>
    </row>
    <row r="7" ht="18" customHeight="1">
      <c r="A7" t="inlineStr" s="26">
        <is>
          <t xml:space="preserve">Interest Earned to Date (auto)</t>
        </is>
      </c>
      <c r="B7" s="26"/>
      <c r="C7" s="26"/>
      <c r="D7" s="26"/>
      <c r="E7" s="27">
        <f>SUM(Balance!$G$6:$G$19)</f>
        <v>2559.84</v>
      </c>
      <c r="F7" s="27"/>
      <c r="G7" s="27"/>
      <c r="H7" s="27"/>
    </row>
    <row r="8" ht="18" customHeight="1">
      <c r="A8" t="inlineStr" s="26">
        <is>
          <t xml:space="preserve">Total Withdrawn</t>
        </is>
      </c>
      <c r="B8" s="26"/>
      <c r="C8" s="26"/>
      <c r="D8" s="26"/>
      <c r="E8" s="27">
        <f>-SUMIFS(tblTransactions[Amount],tblTransactions[Type],"Withdrawal")</f>
        <v>2000</v>
      </c>
      <c r="F8" s="27"/>
      <c r="G8" s="27"/>
      <c r="H8" s="27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6">
        <is>
          <t xml:space="preserve">Your Savings Goal Target</t>
        </is>
      </c>
      <c r="B11" s="26"/>
      <c r="C11" s="26"/>
      <c r="D11" s="26"/>
      <c r="E11" s="29">
        <v>100000</v>
      </c>
      <c r="F11" s="29"/>
      <c r="G11" s="29"/>
      <c r="H11" s="29"/>
    </row>
    <row r="12" ht="18" customHeight="1">
      <c r="A12" t="inlineStr" s="26">
        <is>
          <t xml:space="preserve">Maya Personal Goal — Current Balance</t>
        </is>
      </c>
      <c r="B12" s="26"/>
      <c r="C12" s="26"/>
      <c r="D12" s="26"/>
      <c r="E12" s="27">
        <f>IFERROR(VLOOKUP("Maya - Personal Goal",Balance!$C$6:$H$19,6,FALSE),0)</f>
        <v>25116.67</v>
      </c>
      <c r="F12" s="27"/>
      <c r="G12" s="27"/>
      <c r="H12" s="27"/>
    </row>
    <row r="13" ht="18" customHeight="1">
      <c r="A13" t="inlineStr" s="26">
        <is>
          <t xml:space="preserve">Progress Toward Goal</t>
        </is>
      </c>
      <c r="B13" s="26"/>
      <c r="C13" s="26"/>
      <c r="D13" s="26"/>
      <c r="E13" s="28">
        <f>IFERROR(E12/E11,0)</f>
        <v>0.2512</v>
      </c>
      <c r="F13" s="28"/>
      <c r="G13" s="28"/>
      <c r="H13" s="28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30">
        <f>SUMIF(Balance!$A$6:$A$19,A17,Balance!$H$6:$H$19)</f>
        <v>274565.82</v>
      </c>
    </row>
    <row r="18">
      <c r="A18" t="inlineStr" s="7">
        <is>
          <t xml:space="preserve">UNO</t>
        </is>
      </c>
      <c r="B18" s="30">
        <f>SUMIF(Balance!$A$6:$A$19,A18,Balance!$H$6:$H$19)</f>
        <v>125581.64</v>
      </c>
    </row>
    <row r="19">
      <c r="A19" t="inlineStr" s="7">
        <is>
          <t xml:space="preserve">Tonik</t>
        </is>
      </c>
      <c r="B19" s="30">
        <f>SUMIF(Balance!$A$6:$A$19,A19,Balance!$H$6:$H$19)</f>
        <v>50266.67</v>
      </c>
    </row>
    <row r="20">
      <c r="A20" t="inlineStr" s="7">
        <is>
          <t xml:space="preserve">Banko</t>
        </is>
      </c>
      <c r="B20" s="30">
        <f>SUMIF(Balance!$A$6:$A$19,A20,Balance!$H$6:$H$19)</f>
        <v>15070.02</v>
      </c>
    </row>
    <row r="21">
      <c r="A21" t="inlineStr" s="7">
        <is>
          <t xml:space="preserve">CIMB</t>
        </is>
      </c>
      <c r="B21" s="30">
        <f>SUMIF(Balance!$A$6:$A$19,A21,Balance!$H$6:$H$19)</f>
        <v>10021.45</v>
      </c>
    </row>
    <row r="22">
      <c r="A22" t="inlineStr" s="7">
        <is>
          <t xml:space="preserve">GoTyme</t>
        </is>
      </c>
      <c r="B22" s="30">
        <f>SUMIF(Balance!$A$6:$A$19,A22,Balance!$H$6:$H$19)</f>
        <v>12030.0</v>
      </c>
    </row>
    <row r="23">
      <c r="A23" t="inlineStr" s="7">
        <is>
          <t xml:space="preserve">Maribank</t>
        </is>
      </c>
      <c r="B23" s="30">
        <f>SUMIF(Balance!$A$6:$A$19,A23,Balance!$H$6:$H$19)</f>
        <v>8024.25</v>
      </c>
    </row>
    <row r="24">
      <c r="A24" t="inlineStr" s="15">
        <is>
          <t xml:space="preserve">Total</t>
        </is>
      </c>
      <c r="B24" s="16">
        <f>SUM(B17:B23)</f>
        <v>495559.84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15000.0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15062.63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2491.47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15125.51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2505.08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15188.66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2518.77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15252.08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2532.53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15315.76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2546.38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15379.7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2560.31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15443.91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2574.32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15508.39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2588.41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15573.14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2602.59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15638.16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2616.85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15703.45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2631.19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15769.01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2645.62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15834.85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2660.13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15900.96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2674.73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15967.35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2689.41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16034.01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2704.19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16100.96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2719.04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16168.18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2733.99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16235.68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2749.03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16303.47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2764.15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16371.54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2779.36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16439.89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2794.67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16508.53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2810.06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62.63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62.89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63.15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63.41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63.68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63.94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64.21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64.48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64.75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65.02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65.29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65.56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65.84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66.11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66.39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66.66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66.94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67.22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67.5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67.79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68.07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68.35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68.64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9">
    <mergeCell ref="A1:M1"/>
    <mergeCell ref="A2:B2"/>
    <mergeCell ref="C2:D2"/>
    <mergeCell ref="E2:F2"/>
    <mergeCell ref="G2:H2"/>
    <mergeCell ref="I2:J2"/>
    <mergeCell ref="A3:M3"/>
    <mergeCell ref="A4:H4"/>
    <mergeCell ref="I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conditionalFormatting sqref="E13">
    <cfRule type="dataBar" priority="1">
      <dataBar>
        <cfvo type="num" val="0"/>
        <cfvo type="num" val="1"/>
        <color rgb="FF63C384"/>
      </dataBar>
    </cfRule>
  </conditionalFormatting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2">
    <dataValidation type="list" allowBlank="1" showInputMessage="1" showErrorMessage="1" promptTitle="Pick a bank" prompt="Choose the bank from the drop-down list." sqref="B6:B205">
      <formula1>BankList</formula1>
    </dataValidation>
    <dataValidation type="list" allowBlank="1" showInputMessage="1" showErrorMessage="1" promptTitle="Pick an account" prompt="Choose the account from the drop-down list so the balance matches correctly." sqref="C6:C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money you move here (deposits/withdrawals/transfers) - use negative amounts for money out, and the filter arrows to search. Interest earned is listed automatically further down and is already included in your Current Balance - do not edit it.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(money you move — use the filters)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46198</v>
      </c>
      <c r="B7" t="inlineStr" s="21">
        <is>
          <t xml:space="preserve">Transfer</t>
        </is>
      </c>
      <c r="C7" t="inlineStr" s="21">
        <is>
          <t xml:space="preserve">UNO</t>
        </is>
      </c>
      <c r="D7" t="inlineStr" s="21">
        <is>
          <t xml:space="preserve">UNO - Digi Savings</t>
        </is>
      </c>
      <c r="E7" s="19">
        <v>5000</v>
      </c>
      <c r="F7" t="inlineStr" s="21">
        <is>
          <t xml:space="preserve">Transfer in (example)</t>
        </is>
      </c>
    </row>
    <row r="47" ht="22" customHeight="1">
      <c r="A47" t="inlineStr" s="4">
        <is>
          <t xml:space="preserve">🪙 Interest Earned  (auto-posted — do not edit)</t>
        </is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ht="20" customHeight="1">
      <c r="A48" t="inlineStr" s="6">
        <is>
          <t xml:space="preserve">Date</t>
        </is>
      </c>
      <c r="B48" t="inlineStr" s="6">
        <is>
          <t xml:space="preserve">Type</t>
        </is>
      </c>
      <c r="C48" t="inlineStr" s="6">
        <is>
          <t xml:space="preserve">Bank</t>
        </is>
      </c>
      <c r="D48" t="inlineStr" s="6">
        <is>
          <t xml:space="preserve">Account</t>
        </is>
      </c>
      <c r="E48" t="inlineStr" s="6">
        <is>
          <t xml:space="preserve">Amount</t>
        </is>
      </c>
      <c r="F48" t="inlineStr" s="6">
        <is>
          <t xml:space="preserve">Notes</t>
        </is>
      </c>
    </row>
    <row r="49">
      <c r="A49" s="11">
        <f>TODAY()</f>
        <v>46208</v>
      </c>
      <c r="B49" t="inlineStr" s="7">
        <is>
          <t xml:space="preserve">Interest</t>
        </is>
      </c>
      <c r="C49" t="inlineStr" s="7">
        <is>
          <t xml:space="preserve">Maya</t>
        </is>
      </c>
      <c r="D49" t="inlineStr" s="7">
        <is>
          <t xml:space="preserve">Maya - Savings</t>
        </is>
      </c>
      <c r="E49" s="23">
        <f>IFERROR(VLOOKUP(D49,Interest!$D$6:$Q$19,13,FALSE),0)</f>
        <v>449.15</v>
      </c>
      <c r="F49" t="inlineStr" s="7">
        <is>
          <t xml:space="preserve">Interest earned to date</t>
        </is>
      </c>
    </row>
    <row r="50">
      <c r="A50" s="11">
        <f>TODAY()</f>
        <v>46208</v>
      </c>
      <c r="B50" t="inlineStr" s="7">
        <is>
          <t xml:space="preserve">Interest</t>
        </is>
      </c>
      <c r="C50" t="inlineStr" s="7">
        <is>
          <t xml:space="preserve">Maya</t>
        </is>
      </c>
      <c r="D50" t="inlineStr" s="7">
        <is>
          <t xml:space="preserve">Maya - Time Deposit 1</t>
        </is>
      </c>
      <c r="E50" s="23">
        <f>IFERROR(VLOOKUP(D50,Interest!$D$6:$Q$19,13,FALSE),0)</f>
        <v>500.0</v>
      </c>
      <c r="F50" t="inlineStr" s="7">
        <is>
          <t xml:space="preserve">Interest earned to date</t>
        </is>
      </c>
    </row>
    <row r="51">
      <c r="A51" s="11">
        <f>TODAY()</f>
        <v>46208</v>
      </c>
      <c r="B51" t="inlineStr" s="7">
        <is>
          <t xml:space="preserve">Interest</t>
        </is>
      </c>
      <c r="C51" t="inlineStr" s="7">
        <is>
          <t xml:space="preserve">Maya</t>
        </is>
      </c>
      <c r="D51" t="inlineStr" s="7">
        <is>
          <t xml:space="preserve">Maya - Time Deposit 2</t>
        </is>
      </c>
      <c r="E51" s="23">
        <f>IFERROR(VLOOKUP(D51,Interest!$D$6:$Q$19,13,FALSE),0)</f>
        <v>500.0</v>
      </c>
      <c r="F51" t="inlineStr" s="7">
        <is>
          <t xml:space="preserve">Interest earned to date</t>
        </is>
      </c>
    </row>
    <row r="52">
      <c r="A52" s="11">
        <f>TODAY()</f>
        <v>46208</v>
      </c>
      <c r="B52" t="inlineStr" s="7">
        <is>
          <t xml:space="preserve">Interest</t>
        </is>
      </c>
      <c r="C52" t="inlineStr" s="7">
        <is>
          <t xml:space="preserve">Maya</t>
        </is>
      </c>
      <c r="D52" t="inlineStr" s="7">
        <is>
          <t xml:space="preserve">Maya - Personal Goal</t>
        </is>
      </c>
      <c r="E52" s="23">
        <f>IFERROR(VLOOKUP(D52,Interest!$D$6:$Q$19,13,FALSE),0)</f>
        <v>116.67</v>
      </c>
      <c r="F52" t="inlineStr" s="7">
        <is>
          <t xml:space="preserve">Interest earned to date</t>
        </is>
      </c>
    </row>
    <row r="53">
      <c r="A53" s="11">
        <f>TODAY()</f>
        <v>46208</v>
      </c>
      <c r="B53" t="inlineStr" s="7">
        <is>
          <t xml:space="preserve">Interest</t>
        </is>
      </c>
      <c r="C53" t="inlineStr" s="7">
        <is>
          <t xml:space="preserve">UNO</t>
        </is>
      </c>
      <c r="D53" t="inlineStr" s="7">
        <is>
          <t xml:space="preserve">UNO - Digi Savings</t>
        </is>
      </c>
      <c r="E53" s="23">
        <f>IFERROR(VLOOKUP(D53,Interest!$D$6:$Q$19,13,FALSE),0)</f>
        <v>81.64</v>
      </c>
      <c r="F53" t="inlineStr" s="7">
        <is>
          <t xml:space="preserve">Interest earned to date</t>
        </is>
      </c>
    </row>
    <row r="54">
      <c r="A54" s="11">
        <f>TODAY()</f>
        <v>46208</v>
      </c>
      <c r="B54" t="inlineStr" s="7">
        <is>
          <t xml:space="preserve">Interest</t>
        </is>
      </c>
      <c r="C54" t="inlineStr" s="7">
        <is>
          <t xml:space="preserve">UNO</t>
        </is>
      </c>
      <c r="D54" t="inlineStr" s="7">
        <is>
          <t xml:space="preserve">UNO - Time Deposit 1</t>
        </is>
      </c>
      <c r="E54" s="23">
        <f>IFERROR(VLOOKUP(D54,Interest!$D$6:$Q$19,13,FALSE),0)</f>
        <v>250.0</v>
      </c>
      <c r="F54" t="inlineStr" s="7">
        <is>
          <t xml:space="preserve">Interest earned to date</t>
        </is>
      </c>
    </row>
    <row r="55">
      <c r="A55" s="11">
        <f>TODAY()</f>
        <v>46208</v>
      </c>
      <c r="B55" t="inlineStr" s="7">
        <is>
          <t xml:space="preserve">Interest</t>
        </is>
      </c>
      <c r="C55" t="inlineStr" s="7">
        <is>
          <t xml:space="preserve">UNO</t>
        </is>
      </c>
      <c r="D55" t="inlineStr" s="7">
        <is>
          <t xml:space="preserve">UNO - Time Deposit 2</t>
        </is>
      </c>
      <c r="E55" s="23">
        <f>IFERROR(VLOOKUP(D55,Interest!$D$6:$Q$19,13,FALSE),0)</f>
        <v>250.0</v>
      </c>
      <c r="F55" t="inlineStr" s="7">
        <is>
          <t xml:space="preserve">Interest earned to date</t>
        </is>
      </c>
    </row>
    <row r="56">
      <c r="A56" s="11">
        <f>TODAY()</f>
        <v>46208</v>
      </c>
      <c r="B56" t="inlineStr" s="7">
        <is>
          <t xml:space="preserve">Interest</t>
        </is>
      </c>
      <c r="C56" t="inlineStr" s="7">
        <is>
          <t xml:space="preserve">Tonik</t>
        </is>
      </c>
      <c r="D56" t="inlineStr" s="7">
        <is>
          <t xml:space="preserve">Tonik - Stash 1</t>
        </is>
      </c>
      <c r="E56" s="23">
        <f>IFERROR(VLOOKUP(D56,Interest!$D$6:$Q$19,13,FALSE),0)</f>
        <v>33.33</v>
      </c>
      <c r="F56" t="inlineStr" s="7">
        <is>
          <t xml:space="preserve">Interest earned to date</t>
        </is>
      </c>
    </row>
    <row r="57">
      <c r="A57" s="11">
        <f>TODAY()</f>
        <v>46208</v>
      </c>
      <c r="B57" t="inlineStr" s="7">
        <is>
          <t xml:space="preserve">Interest</t>
        </is>
      </c>
      <c r="C57" t="inlineStr" s="7">
        <is>
          <t xml:space="preserve">Tonik</t>
        </is>
      </c>
      <c r="D57" t="inlineStr" s="7">
        <is>
          <t xml:space="preserve">Tonik - Stash 2</t>
        </is>
      </c>
      <c r="E57" s="23">
        <f>IFERROR(VLOOKUP(D57,Interest!$D$6:$Q$19,13,FALSE),0)</f>
        <v>33.33</v>
      </c>
      <c r="F57" t="inlineStr" s="7">
        <is>
          <t xml:space="preserve">Interest earned to date</t>
        </is>
      </c>
    </row>
    <row r="58">
      <c r="A58" s="11">
        <f>TODAY()</f>
        <v>46208</v>
      </c>
      <c r="B58" t="inlineStr" s="7">
        <is>
          <t xml:space="preserve">Interest</t>
        </is>
      </c>
      <c r="C58" t="inlineStr" s="7">
        <is>
          <t xml:space="preserve">Tonik</t>
        </is>
      </c>
      <c r="D58" t="inlineStr" s="7">
        <is>
          <t xml:space="preserve">Tonik - Time Deposit</t>
        </is>
      </c>
      <c r="E58" s="23">
        <f>IFERROR(VLOOKUP(D58,Interest!$D$6:$Q$19,13,FALSE),0)</f>
        <v>200.0</v>
      </c>
      <c r="F58" t="inlineStr" s="7">
        <is>
          <t xml:space="preserve">Interest earned to date</t>
        </is>
      </c>
    </row>
    <row r="59">
      <c r="A59" s="11">
        <f>TODAY()</f>
        <v>46208</v>
      </c>
      <c r="B59" t="inlineStr" s="7">
        <is>
          <t xml:space="preserve">Interest</t>
        </is>
      </c>
      <c r="C59" t="inlineStr" s="7">
        <is>
          <t xml:space="preserve">Banko</t>
        </is>
      </c>
      <c r="D59" t="inlineStr" s="7">
        <is>
          <t xml:space="preserve">Banko - Savings</t>
        </is>
      </c>
      <c r="E59" s="23">
        <f>IFERROR(VLOOKUP(D59,Interest!$D$6:$Q$19,13,FALSE),0)</f>
        <v>70.02</v>
      </c>
      <c r="F59" t="inlineStr" s="7">
        <is>
          <t xml:space="preserve">Interest earned to date</t>
        </is>
      </c>
    </row>
    <row r="60">
      <c r="A60" s="11">
        <f>TODAY()</f>
        <v>46208</v>
      </c>
      <c r="B60" t="inlineStr" s="7">
        <is>
          <t xml:space="preserve">Interest</t>
        </is>
      </c>
      <c r="C60" t="inlineStr" s="7">
        <is>
          <t xml:space="preserve">CIMB</t>
        </is>
      </c>
      <c r="D60" t="inlineStr" s="7">
        <is>
          <t xml:space="preserve">CIMB - Savings</t>
        </is>
      </c>
      <c r="E60" s="23">
        <f>IFERROR(VLOOKUP(D60,Interest!$D$6:$Q$19,13,FALSE),0)</f>
        <v>21.45</v>
      </c>
      <c r="F60" t="inlineStr" s="7">
        <is>
          <t xml:space="preserve">Interest earned to date</t>
        </is>
      </c>
    </row>
    <row r="61">
      <c r="A61" s="11">
        <f>TODAY()</f>
        <v>46208</v>
      </c>
      <c r="B61" t="inlineStr" s="7">
        <is>
          <t xml:space="preserve">Interest</t>
        </is>
      </c>
      <c r="C61" t="inlineStr" s="7">
        <is>
          <t xml:space="preserve">GoTyme</t>
        </is>
      </c>
      <c r="D61" t="inlineStr" s="7">
        <is>
          <t xml:space="preserve">GoTyme - GoSave</t>
        </is>
      </c>
      <c r="E61" s="23">
        <f>IFERROR(VLOOKUP(D61,Interest!$D$6:$Q$19,13,FALSE),0)</f>
        <v>30.0</v>
      </c>
      <c r="F61" t="inlineStr" s="7">
        <is>
          <t xml:space="preserve">Interest earned to date</t>
        </is>
      </c>
    </row>
    <row r="62">
      <c r="A62" s="11">
        <f>TODAY()</f>
        <v>46208</v>
      </c>
      <c r="B62" t="inlineStr" s="7">
        <is>
          <t xml:space="preserve">Interest</t>
        </is>
      </c>
      <c r="C62" t="inlineStr" s="7">
        <is>
          <t xml:space="preserve">Maribank</t>
        </is>
      </c>
      <c r="D62" t="inlineStr" s="7">
        <is>
          <t xml:space="preserve">Maribank - Savings</t>
        </is>
      </c>
      <c r="E62" s="23">
        <f>IFERROR(VLOOKUP(D62,Interest!$D$6:$Q$19,13,FALSE),0)</f>
        <v>24.25</v>
      </c>
      <c r="F62" t="inlineStr" s="7">
        <is>
          <t xml:space="preserve">Interest earned to date</t>
        </is>
      </c>
    </row>
    <row r="63" ht="18" customHeight="1">
      <c r="A63" t="inlineStr" s="15">
        <is>
          <t xml:space="preserve"/>
        </is>
      </c>
      <c r="B63" t="inlineStr" s="15">
        <is>
          <t xml:space="preserve"/>
        </is>
      </c>
      <c r="C63" t="inlineStr" s="15">
        <is>
          <t xml:space="preserve"/>
        </is>
      </c>
      <c r="D63" t="inlineStr" s="15">
        <is>
          <t xml:space="preserve">Total interest</t>
        </is>
      </c>
      <c r="E63" s="16">
        <f>SUM(E49:E62)</f>
        <v>2559.84</v>
      </c>
      <c r="F63" t="inlineStr" s="15">
        <is>
          <t xml:space="preserve"/>
        </is>
      </c>
    </row>
  </sheetData>
  <mergeCells count="9">
    <mergeCell ref="A1:M1"/>
    <mergeCell ref="A2:B2"/>
    <mergeCell ref="C2:D2"/>
    <mergeCell ref="E2:F2"/>
    <mergeCell ref="G2:H2"/>
    <mergeCell ref="I2:J2"/>
    <mergeCell ref="A3:M3"/>
    <mergeCell ref="A4:M4"/>
    <mergeCell ref="A47:M47"/>
  </mergeCells>
  <dataValidations count="3">
    <dataValidation type="list" allowBlank="1" showInputMessage="1" showErrorMessage="1" promptTitle="Pick a type" prompt="Choose the transaction type. (Interest is added automatically below - no need to record it here.)" sqref="B6:B45">
      <formula1>"Deposit,Withdrawal,Transfer,Adjustment,Fee"</formula1>
    </dataValidation>
    <dataValidation type="list" allowBlank="1" showInputMessage="1" showErrorMessage="1" promptTitle="Pick a bank" prompt="Choose the bank from the drop-down list." sqref="C6:C45">
      <formula1>BankList</formula1>
    </dataValidation>
    <dataValidation type="list" allowBlank="1" showInputMessage="1" showErrorMessage="1" promptTitle="Pick an account" prompt="Choose the account from the drop-down list." sqref="D6:D4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7" customWidth="1"/>
    <col min="9" max="9" width="15" customWidth="1"/>
    <col min="10" max="10" width="17" customWidth="1"/>
    <col min="11" max="11" width="10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Current Balance = Principal (Deposits + Net Transactions) + Interest Earned. Interest is posted automatically on the Transactions tab and grows each day/month, so Current Balance rises on its own.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Principal</t>
        </is>
      </c>
      <c r="G5" t="inlineStr" s="6">
        <is>
          <t xml:space="preserve">Interest Earned</t>
        </is>
      </c>
      <c r="H5" t="inlineStr" s="6">
        <is>
          <t xml:space="preserve">Current Balance</t>
        </is>
      </c>
      <c r="I5" t="inlineStr" s="6">
        <is>
          <t xml:space="preserve">Interest (1 Yr)</t>
        </is>
      </c>
      <c r="J5" t="inlineStr" s="6">
        <is>
          <t xml:space="preserve">Proj. Balance (1 Yr)</t>
        </is>
      </c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SUMIFS(tblTransactions[Amount],tblTransactions[Account],C6)</f>
        <v>-2000.0</v>
      </c>
      <c r="F6" s="8">
        <f>D6+E6</f>
        <v>48000.0</v>
      </c>
      <c r="G6" s="23">
        <f>IFERROR(VLOOKUP(C6,Interest!$D$6:$Q$19,13,FALSE),0)</f>
        <v>449.15</v>
      </c>
      <c r="H6" s="23">
        <f>IFERROR(VLOOKUP(C6,Interest!$D$6:$Q$19,14,FALSE),0)</f>
        <v>48449.15</v>
      </c>
      <c r="I6" s="8">
        <f>IFERROR(VLOOKUP(C6,Interest!$D$6:$L$19,9,FALSE),0)</f>
        <v>5047.48</v>
      </c>
      <c r="J6" s="8">
        <f>F6+I6</f>
        <v>53047.48</v>
      </c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SUMIFS(tblTransactions[Amount],tblTransactions[Account],C7)</f>
        <v>0.0</v>
      </c>
      <c r="F7" s="8">
        <f>D7+E7</f>
        <v>100000.0</v>
      </c>
      <c r="G7" s="23">
        <f>IFERROR(VLOOKUP(C7,Interest!$D$6:$Q$19,13,FALSE),0)</f>
        <v>500.0</v>
      </c>
      <c r="H7" s="23">
        <f>IFERROR(VLOOKUP(C7,Interest!$D$6:$Q$19,14,FALSE),0)</f>
        <v>100500.0</v>
      </c>
      <c r="I7" s="8">
        <f>IFERROR(VLOOKUP(C7,Interest!$D$6:$L$19,9,FALSE),0)</f>
        <v>6167.78</v>
      </c>
      <c r="J7" s="8">
        <f>F7+I7</f>
        <v>106167.78</v>
      </c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SUMIFS(tblTransactions[Amount],tblTransactions[Account],C8)</f>
        <v>0.0</v>
      </c>
      <c r="F8" s="8">
        <f>D8+E8</f>
        <v>100000.0</v>
      </c>
      <c r="G8" s="23">
        <f>IFERROR(VLOOKUP(C8,Interest!$D$6:$Q$19,13,FALSE),0)</f>
        <v>500.0</v>
      </c>
      <c r="H8" s="23">
        <f>IFERROR(VLOOKUP(C8,Interest!$D$6:$Q$19,14,FALSE),0)</f>
        <v>100500.0</v>
      </c>
      <c r="I8" s="8">
        <f>IFERROR(VLOOKUP(C8,Interest!$D$6:$L$19,9,FALSE),0)</f>
        <v>6167.78</v>
      </c>
      <c r="J8" s="8">
        <f>F8+I8</f>
        <v>106167.78</v>
      </c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SUMIFS(tblTransactions[Amount],tblTransactions[Account],C9)</f>
        <v>0.0</v>
      </c>
      <c r="F9" s="8">
        <f>D9+E9</f>
        <v>25000.0</v>
      </c>
      <c r="G9" s="23">
        <f>IFERROR(VLOOKUP(C9,Interest!$D$6:$Q$19,13,FALSE),0)</f>
        <v>116.67</v>
      </c>
      <c r="H9" s="23">
        <f>IFERROR(VLOOKUP(C9,Interest!$D$6:$Q$19,14,FALSE),0)</f>
        <v>25116.67</v>
      </c>
      <c r="I9" s="8">
        <f>IFERROR(VLOOKUP(C9,Interest!$D$6:$L$19,9,FALSE),0)</f>
        <v>1436.5</v>
      </c>
      <c r="J9" s="8">
        <f>F9+I9</f>
        <v>26436.5</v>
      </c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SUMIFS(tblTransactions[Amount],tblTransactions[Account],C10)</f>
        <v>5000.0</v>
      </c>
      <c r="F10" s="8">
        <f>D10+E10</f>
        <v>25000.0</v>
      </c>
      <c r="G10" s="23">
        <f>IFERROR(VLOOKUP(C10,Interest!$D$6:$Q$19,13,FALSE),0)</f>
        <v>81.64</v>
      </c>
      <c r="H10" s="23">
        <f>IFERROR(VLOOKUP(C10,Interest!$D$6:$Q$19,14,FALSE),0)</f>
        <v>25081.64</v>
      </c>
      <c r="I10" s="8">
        <f>IFERROR(VLOOKUP(C10,Interest!$D$6:$L$19,9,FALSE),0)</f>
        <v>890.45</v>
      </c>
      <c r="J10" s="8">
        <f>F10+I10</f>
        <v>25890.45</v>
      </c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SUMIFS(tblTransactions[Amount],tblTransactions[Account],C11)</f>
        <v>0.0</v>
      </c>
      <c r="F11" s="8">
        <f>D11+E11</f>
        <v>50000.0</v>
      </c>
      <c r="G11" s="23">
        <f>IFERROR(VLOOKUP(C11,Interest!$D$6:$Q$19,13,FALSE),0)</f>
        <v>250.0</v>
      </c>
      <c r="H11" s="23">
        <f>IFERROR(VLOOKUP(C11,Interest!$D$6:$Q$19,14,FALSE),0)</f>
        <v>50250.0</v>
      </c>
      <c r="I11" s="8">
        <f>IFERROR(VLOOKUP(C11,Interest!$D$6:$L$19,9,FALSE),0)</f>
        <v>3083.89</v>
      </c>
      <c r="J11" s="8">
        <f>F11+I11</f>
        <v>53083.89</v>
      </c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SUMIFS(tblTransactions[Amount],tblTransactions[Account],C12)</f>
        <v>0.0</v>
      </c>
      <c r="F12" s="8">
        <f>D12+E12</f>
        <v>50000.0</v>
      </c>
      <c r="G12" s="23">
        <f>IFERROR(VLOOKUP(C12,Interest!$D$6:$Q$19,13,FALSE),0)</f>
        <v>250.0</v>
      </c>
      <c r="H12" s="23">
        <f>IFERROR(VLOOKUP(C12,Interest!$D$6:$Q$19,14,FALSE),0)</f>
        <v>50250.0</v>
      </c>
      <c r="I12" s="8">
        <f>IFERROR(VLOOKUP(C12,Interest!$D$6:$L$19,9,FALSE),0)</f>
        <v>3083.89</v>
      </c>
      <c r="J12" s="8">
        <f>F12+I12</f>
        <v>53083.89</v>
      </c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SUMIFS(tblTransactions[Amount],tblTransactions[Account],C13)</f>
        <v>0.0</v>
      </c>
      <c r="F13" s="8">
        <f>D13+E13</f>
        <v>10000.0</v>
      </c>
      <c r="G13" s="23">
        <f>IFERROR(VLOOKUP(C13,Interest!$D$6:$Q$19,13,FALSE),0)</f>
        <v>33.33</v>
      </c>
      <c r="H13" s="23">
        <f>IFERROR(VLOOKUP(C13,Interest!$D$6:$Q$19,14,FALSE),0)</f>
        <v>10033.33</v>
      </c>
      <c r="I13" s="8">
        <f>IFERROR(VLOOKUP(C13,Interest!$D$6:$L$19,9,FALSE),0)</f>
        <v>407.42</v>
      </c>
      <c r="J13" s="8">
        <f>F13+I13</f>
        <v>10407.42</v>
      </c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SUMIFS(tblTransactions[Amount],tblTransactions[Account],C14)</f>
        <v>0.0</v>
      </c>
      <c r="F14" s="8">
        <f>D14+E14</f>
        <v>10000.0</v>
      </c>
      <c r="G14" s="23">
        <f>IFERROR(VLOOKUP(C14,Interest!$D$6:$Q$19,13,FALSE),0)</f>
        <v>33.33</v>
      </c>
      <c r="H14" s="23">
        <f>IFERROR(VLOOKUP(C14,Interest!$D$6:$Q$19,14,FALSE),0)</f>
        <v>10033.33</v>
      </c>
      <c r="I14" s="8">
        <f>IFERROR(VLOOKUP(C14,Interest!$D$6:$L$19,9,FALSE),0)</f>
        <v>407.42</v>
      </c>
      <c r="J14" s="8">
        <f>F14+I14</f>
        <v>10407.42</v>
      </c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SUMIFS(tblTransactions[Amount],tblTransactions[Account],C15)</f>
        <v>0.0</v>
      </c>
      <c r="F15" s="8">
        <f>D15+E15</f>
        <v>30000.0</v>
      </c>
      <c r="G15" s="23">
        <f>IFERROR(VLOOKUP(C15,Interest!$D$6:$Q$19,13,FALSE),0)</f>
        <v>200.0</v>
      </c>
      <c r="H15" s="23">
        <f>IFERROR(VLOOKUP(C15,Interest!$D$6:$Q$19,14,FALSE),0)</f>
        <v>30200.0</v>
      </c>
      <c r="I15" s="8">
        <f>IFERROR(VLOOKUP(C15,Interest!$D$6:$L$19,9,FALSE),0)</f>
        <v>2489.99</v>
      </c>
      <c r="J15" s="8">
        <f>F15+I15</f>
        <v>32489.99</v>
      </c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SUMIFS(tblTransactions[Amount],tblTransactions[Account],C16)</f>
        <v>0.0</v>
      </c>
      <c r="F16" s="8">
        <f>D16+E16</f>
        <v>15000.0</v>
      </c>
      <c r="G16" s="23">
        <f>IFERROR(VLOOKUP(C16,Interest!$D$6:$Q$19,13,FALSE),0)</f>
        <v>70.02</v>
      </c>
      <c r="H16" s="23">
        <f>IFERROR(VLOOKUP(C16,Interest!$D$6:$Q$19,14,FALSE),0)</f>
        <v>15070.02</v>
      </c>
      <c r="I16" s="8">
        <f>IFERROR(VLOOKUP(C16,Interest!$D$6:$L$19,9,FALSE),0)</f>
        <v>769.01</v>
      </c>
      <c r="J16" s="8">
        <f>F16+I16</f>
        <v>15769.01</v>
      </c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SUMIFS(tblTransactions[Amount],tblTransactions[Account],C17)</f>
        <v>0.0</v>
      </c>
      <c r="F17" s="8">
        <f>D17+E17</f>
        <v>10000.0</v>
      </c>
      <c r="G17" s="23">
        <f>IFERROR(VLOOKUP(C17,Interest!$D$6:$Q$19,13,FALSE),0)</f>
        <v>21.45</v>
      </c>
      <c r="H17" s="23">
        <f>IFERROR(VLOOKUP(C17,Interest!$D$6:$Q$19,14,FALSE),0)</f>
        <v>10021.45</v>
      </c>
      <c r="I17" s="8">
        <f>IFERROR(VLOOKUP(C17,Interest!$D$6:$L$19,9,FALSE),0)</f>
        <v>232.66</v>
      </c>
      <c r="J17" s="8">
        <f>F17+I17</f>
        <v>10232.66</v>
      </c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SUMIFS(tblTransactions[Amount],tblTransactions[Account],C18)</f>
        <v>0.0</v>
      </c>
      <c r="F18" s="8">
        <f>D18+E18</f>
        <v>12000.0</v>
      </c>
      <c r="G18" s="23">
        <f>IFERROR(VLOOKUP(C18,Interest!$D$6:$Q$19,13,FALSE),0)</f>
        <v>30.0</v>
      </c>
      <c r="H18" s="23">
        <f>IFERROR(VLOOKUP(C18,Interest!$D$6:$Q$19,14,FALSE),0)</f>
        <v>12030.0</v>
      </c>
      <c r="I18" s="8">
        <f>IFERROR(VLOOKUP(C18,Interest!$D$6:$L$19,9,FALSE),0)</f>
        <v>364.99</v>
      </c>
      <c r="J18" s="8">
        <f>F18+I18</f>
        <v>12364.99</v>
      </c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SUMIFS(tblTransactions[Amount],tblTransactions[Account],C19)</f>
        <v>0.0</v>
      </c>
      <c r="F19" s="8">
        <f>D19+E19</f>
        <v>8000.0</v>
      </c>
      <c r="G19" s="23">
        <f>IFERROR(VLOOKUP(C19,Interest!$D$6:$Q$19,13,FALSE),0)</f>
        <v>24.25</v>
      </c>
      <c r="H19" s="23">
        <f>IFERROR(VLOOKUP(C19,Interest!$D$6:$Q$19,14,FALSE),0)</f>
        <v>8024.25</v>
      </c>
      <c r="I19" s="8">
        <f>IFERROR(VLOOKUP(C19,Interest!$D$6:$L$19,9,FALSE),0)</f>
        <v>264.26</v>
      </c>
      <c r="J19" s="8">
        <f>F19+I19</f>
        <v>8264.26</v>
      </c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3000.0</v>
      </c>
      <c r="F20" s="16">
        <f>SUM(F6:F19)</f>
        <v>493000.0</v>
      </c>
      <c r="G20" s="16">
        <f>SUM(G6:G19)</f>
        <v>2559.84</v>
      </c>
      <c r="H20" s="16">
        <f>SUM(H6:H19)</f>
        <v>495559.84</v>
      </c>
      <c r="I20" s="16">
        <f>SUM(I6:I19)</f>
        <v>30813.51</v>
      </c>
      <c r="J20" s="16">
        <f>SUM(J6:J19)</f>
        <v>523813.51</v>
      </c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2" customWidth="1"/>
    <col min="5" max="5" width="11" customWidth="1"/>
    <col min="6" max="6" width="11" customWidth="1"/>
    <col min="7" max="7" width="15" customWidth="1"/>
    <col min="8" max="8" width="11" hidden="1" customWidth="1"/>
    <col min="9" max="9" width="15" customWidth="1"/>
    <col min="10" max="10" width="10" hidden="1" customWidth="1"/>
    <col min="11" max="11" width="16" customWidth="1"/>
    <col min="12" max="12" width="15" customWidth="1"/>
    <col min="13" max="13" width="12" hidden="1" customWidth="1"/>
    <col min="14" max="14" width="13" customWidth="1"/>
    <col min="15" max="15" width="12" hidden="1" customWidth="1"/>
    <col min="16" max="16" width="16" customWidth="1"/>
    <col min="17" max="17" width="16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  <c r="N2" s="2"/>
      <c r="O2" s="2"/>
      <c r="P2" s="2"/>
      <c r="Q2" s="2"/>
    </row>
    <row r="3" ht="22" customHeight="1">
      <c r="A3" t="inlineStr" s="5">
        <is>
          <t xml:space="preserve">Interest auto-calculates and GROWS ON ITS OWN. 'Balance Today' accrues from the yellow 'Interest Start' date up to TODAY() every time you open the file - daily accounts step up each day, monthly accounts each month. Interest Start is pre-filled with your first deposit date; edit it if an account started elsewhere. Maya Savings =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ht="22" customHeight="1">
      <c r="A4" t="inlineStr" s="4">
        <is>
          <t xml:space="preserve">📈 Interest Rates, Earnings &amp; Live Balance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Day</t>
        </is>
      </c>
      <c r="J5" t="inlineStr" s="6">
        <is>
          <t xml:space="preserve">Periods / Yr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  <c r="N5" t="inlineStr" s="6">
        <is>
          <t xml:space="preserve">Interest Start</t>
        </is>
      </c>
      <c r="O5" t="inlineStr" s="6">
        <is>
          <t xml:space="preserve">Periods Elapsed</t>
        </is>
      </c>
      <c r="P5" t="inlineStr" s="6">
        <is>
          <t xml:space="preserve">Interest to Date</t>
        </is>
      </c>
      <c r="Q5" t="inlineStr" s="6">
        <is>
          <t xml:space="preserve">Balance Today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G6*E6/365</f>
        <v>13.15</v>
      </c>
      <c r="J6" s="10">
        <f>IF(F6="Daily",365,12)</f>
        <v>365</v>
      </c>
      <c r="K6" s="8">
        <f>G6*(1+H6)^J6</f>
        <v>53047.48</v>
      </c>
      <c r="L6" s="8">
        <f>K6-G6</f>
        <v>5047.48</v>
      </c>
      <c r="M6" s="9">
        <f>IF(F6="Daily",(1+E6/365)^(365/12),1+E6/12)</f>
        <v>1.008367</v>
      </c>
      <c r="N6" s="32">
        <v>46174</v>
      </c>
      <c r="O6" s="10">
        <f>IF(ISNUMBER(N6),IF(F6="Daily",MAX(0,TODAY()-N6),MAX(0,DATEDIF(N6,TODAY(),"m"))),0)</f>
        <v>34</v>
      </c>
      <c r="P6" s="8">
        <f>G6*((1+H6)^O6-1)</f>
        <v>449.15</v>
      </c>
      <c r="Q6" s="8">
        <f>G6+P6</f>
        <v>48449.15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G7*E7/365</f>
        <v>16.44</v>
      </c>
      <c r="J7" s="10">
        <f>IF(F7="Daily",365,12)</f>
        <v>12</v>
      </c>
      <c r="K7" s="8">
        <f>G7*(1+H7)^J7</f>
        <v>106167.78</v>
      </c>
      <c r="L7" s="8">
        <f>K7-G7</f>
        <v>6167.78</v>
      </c>
      <c r="M7" s="9">
        <f>IF(F7="Daily",(1+E7/365)^(365/12),1+E7/12)</f>
        <v>1.005</v>
      </c>
      <c r="N7" s="32">
        <v>46174</v>
      </c>
      <c r="O7" s="10">
        <f>IF(ISNUMBER(N7),IF(F7="Daily",MAX(0,TODAY()-N7),MAX(0,DATEDIF(N7,TODAY(),"m"))),0)</f>
        <v>1</v>
      </c>
      <c r="P7" s="8">
        <f>G7*((1+H7)^O7-1)</f>
        <v>500.0</v>
      </c>
      <c r="Q7" s="8">
        <f>G7+P7</f>
        <v>100500.0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G8*E8/365</f>
        <v>16.44</v>
      </c>
      <c r="J8" s="10">
        <f>IF(F8="Daily",365,12)</f>
        <v>12</v>
      </c>
      <c r="K8" s="8">
        <f>G8*(1+H8)^J8</f>
        <v>106167.78</v>
      </c>
      <c r="L8" s="8">
        <f>K8-G8</f>
        <v>6167.78</v>
      </c>
      <c r="M8" s="9">
        <f>IF(F8="Daily",(1+E8/365)^(365/12),1+E8/12)</f>
        <v>1.005</v>
      </c>
      <c r="N8" s="32">
        <v>46174</v>
      </c>
      <c r="O8" s="10">
        <f>IF(ISNUMBER(N8),IF(F8="Daily",MAX(0,TODAY()-N8),MAX(0,DATEDIF(N8,TODAY(),"m"))),0)</f>
        <v>1</v>
      </c>
      <c r="P8" s="8">
        <f>G8*((1+H8)^O8-1)</f>
        <v>500.0</v>
      </c>
      <c r="Q8" s="8">
        <f>G8+P8</f>
        <v>100500.0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G9*E9/365</f>
        <v>3.84</v>
      </c>
      <c r="J9" s="10">
        <f>IF(F9="Daily",365,12)</f>
        <v>12</v>
      </c>
      <c r="K9" s="8">
        <f>G9*(1+H9)^J9</f>
        <v>26436.5</v>
      </c>
      <c r="L9" s="8">
        <f>K9-G9</f>
        <v>1436.5</v>
      </c>
      <c r="M9" s="9">
        <f>IF(F9="Daily",(1+E9/365)^(365/12),1+E9/12)</f>
        <v>1.00466667</v>
      </c>
      <c r="N9" s="32">
        <v>46174</v>
      </c>
      <c r="O9" s="10">
        <f>IF(ISNUMBER(N9),IF(F9="Daily",MAX(0,TODAY()-N9),MAX(0,DATEDIF(N9,TODAY(),"m"))),0)</f>
        <v>1</v>
      </c>
      <c r="P9" s="8">
        <f>G9*((1+H9)^O9-1)</f>
        <v>116.67</v>
      </c>
      <c r="Q9" s="8">
        <f>G9+P9</f>
        <v>25116.67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G10*E10/365</f>
        <v>2.4</v>
      </c>
      <c r="J10" s="10">
        <f>IF(F10="Daily",365,12)</f>
        <v>365</v>
      </c>
      <c r="K10" s="8">
        <f>G10*(1+H10)^J10</f>
        <v>25890.45</v>
      </c>
      <c r="L10" s="8">
        <f>K10-G10</f>
        <v>890.45</v>
      </c>
      <c r="M10" s="9">
        <f>IF(F10="Daily",(1+E10/365)^(365/12),1+E10/12)</f>
        <v>1.00292078</v>
      </c>
      <c r="N10" s="32">
        <v>46174</v>
      </c>
      <c r="O10" s="10">
        <f>IF(ISNUMBER(N10),IF(F10="Daily",MAX(0,TODAY()-N10),MAX(0,DATEDIF(N10,TODAY(),"m"))),0)</f>
        <v>34</v>
      </c>
      <c r="P10" s="8">
        <f>G10*((1+H10)^O10-1)</f>
        <v>81.64</v>
      </c>
      <c r="Q10" s="8">
        <f>G10+P10</f>
        <v>25081.64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G11*E11/365</f>
        <v>8.22</v>
      </c>
      <c r="J11" s="10">
        <f>IF(F11="Daily",365,12)</f>
        <v>12</v>
      </c>
      <c r="K11" s="8">
        <f>G11*(1+H11)^J11</f>
        <v>53083.89</v>
      </c>
      <c r="L11" s="8">
        <f>K11-G11</f>
        <v>3083.89</v>
      </c>
      <c r="M11" s="9">
        <f>IF(F11="Daily",(1+E11/365)^(365/12),1+E11/12)</f>
        <v>1.005</v>
      </c>
      <c r="N11" s="32">
        <v>46174</v>
      </c>
      <c r="O11" s="10">
        <f>IF(ISNUMBER(N11),IF(F11="Daily",MAX(0,TODAY()-N11),MAX(0,DATEDIF(N11,TODAY(),"m"))),0)</f>
        <v>1</v>
      </c>
      <c r="P11" s="8">
        <f>G11*((1+H11)^O11-1)</f>
        <v>250.0</v>
      </c>
      <c r="Q11" s="8">
        <f>G11+P11</f>
        <v>50250.0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G12*E12/365</f>
        <v>8.22</v>
      </c>
      <c r="J12" s="10">
        <f>IF(F12="Daily",365,12)</f>
        <v>12</v>
      </c>
      <c r="K12" s="8">
        <f>G12*(1+H12)^J12</f>
        <v>53083.89</v>
      </c>
      <c r="L12" s="8">
        <f>K12-G12</f>
        <v>3083.89</v>
      </c>
      <c r="M12" s="9">
        <f>IF(F12="Daily",(1+E12/365)^(365/12),1+E12/12)</f>
        <v>1.005</v>
      </c>
      <c r="N12" s="32">
        <v>46174</v>
      </c>
      <c r="O12" s="10">
        <f>IF(ISNUMBER(N12),IF(F12="Daily",MAX(0,TODAY()-N12),MAX(0,DATEDIF(N12,TODAY(),"m"))),0)</f>
        <v>1</v>
      </c>
      <c r="P12" s="8">
        <f>G12*((1+H12)^O12-1)</f>
        <v>250.0</v>
      </c>
      <c r="Q12" s="8">
        <f>G12+P12</f>
        <v>50250.0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G13*E13/365</f>
        <v>1.1</v>
      </c>
      <c r="J13" s="10">
        <f>IF(F13="Daily",365,12)</f>
        <v>12</v>
      </c>
      <c r="K13" s="8">
        <f>G13*(1+H13)^J13</f>
        <v>10407.42</v>
      </c>
      <c r="L13" s="8">
        <f>K13-G13</f>
        <v>407.42</v>
      </c>
      <c r="M13" s="9">
        <f>IF(F13="Daily",(1+E13/365)^(365/12),1+E13/12)</f>
        <v>1.00333333</v>
      </c>
      <c r="N13" s="32">
        <v>46174</v>
      </c>
      <c r="O13" s="10">
        <f>IF(ISNUMBER(N13),IF(F13="Daily",MAX(0,TODAY()-N13),MAX(0,DATEDIF(N13,TODAY(),"m"))),0)</f>
        <v>1</v>
      </c>
      <c r="P13" s="8">
        <f>G13*((1+H13)^O13-1)</f>
        <v>33.33</v>
      </c>
      <c r="Q13" s="8">
        <f>G13+P13</f>
        <v>10033.33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G14*E14/365</f>
        <v>1.1</v>
      </c>
      <c r="J14" s="10">
        <f>IF(F14="Daily",365,12)</f>
        <v>12</v>
      </c>
      <c r="K14" s="8">
        <f>G14*(1+H14)^J14</f>
        <v>10407.42</v>
      </c>
      <c r="L14" s="8">
        <f>K14-G14</f>
        <v>407.42</v>
      </c>
      <c r="M14" s="9">
        <f>IF(F14="Daily",(1+E14/365)^(365/12),1+E14/12)</f>
        <v>1.00333333</v>
      </c>
      <c r="N14" s="32">
        <v>46174</v>
      </c>
      <c r="O14" s="10">
        <f>IF(ISNUMBER(N14),IF(F14="Daily",MAX(0,TODAY()-N14),MAX(0,DATEDIF(N14,TODAY(),"m"))),0)</f>
        <v>1</v>
      </c>
      <c r="P14" s="8">
        <f>G14*((1+H14)^O14-1)</f>
        <v>33.33</v>
      </c>
      <c r="Q14" s="8">
        <f>G14+P14</f>
        <v>10033.33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G15*E15/365</f>
        <v>6.58</v>
      </c>
      <c r="J15" s="10">
        <f>IF(F15="Daily",365,12)</f>
        <v>12</v>
      </c>
      <c r="K15" s="8">
        <f>G15*(1+H15)^J15</f>
        <v>32489.99</v>
      </c>
      <c r="L15" s="8">
        <f>K15-G15</f>
        <v>2489.99</v>
      </c>
      <c r="M15" s="9">
        <f>IF(F15="Daily",(1+E15/365)^(365/12),1+E15/12)</f>
        <v>1.00666667</v>
      </c>
      <c r="N15" s="32">
        <v>46174</v>
      </c>
      <c r="O15" s="10">
        <f>IF(ISNUMBER(N15),IF(F15="Daily",MAX(0,TODAY()-N15),MAX(0,DATEDIF(N15,TODAY(),"m"))),0)</f>
        <v>1</v>
      </c>
      <c r="P15" s="8">
        <f>G15*((1+H15)^O15-1)</f>
        <v>200.0</v>
      </c>
      <c r="Q15" s="8">
        <f>G15+P15</f>
        <v>30200.0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15000.0</v>
      </c>
      <c r="H16" s="9">
        <f>IF(F16="Daily",E16/365,E16/12)</f>
        <v>0.00013699</v>
      </c>
      <c r="I16" s="8">
        <f>G16*E16/365</f>
        <v>2.05</v>
      </c>
      <c r="J16" s="10">
        <f>IF(F16="Daily",365,12)</f>
        <v>365</v>
      </c>
      <c r="K16" s="8">
        <f>G16*(1+H16)^J16</f>
        <v>15769.01</v>
      </c>
      <c r="L16" s="8">
        <f>K16-G16</f>
        <v>769.01</v>
      </c>
      <c r="M16" s="9">
        <f>IF(F16="Daily",(1+E16/365)^(365/12),1+E16/12)</f>
        <v>1.00417507</v>
      </c>
      <c r="N16" s="32">
        <v>46174</v>
      </c>
      <c r="O16" s="10">
        <f>IF(ISNUMBER(N16),IF(F16="Daily",MAX(0,TODAY()-N16),MAX(0,DATEDIF(N16,TODAY(),"m"))),0)</f>
        <v>34</v>
      </c>
      <c r="P16" s="8">
        <f>G16*((1+H16)^O16-1)</f>
        <v>70.02</v>
      </c>
      <c r="Q16" s="8">
        <f>G16+P16</f>
        <v>15070.02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G17*E17/365</f>
        <v>0.63</v>
      </c>
      <c r="J17" s="10">
        <f>IF(F17="Daily",365,12)</f>
        <v>365</v>
      </c>
      <c r="K17" s="8">
        <f>G17*(1+H17)^J17</f>
        <v>10232.66</v>
      </c>
      <c r="L17" s="8">
        <f>K17-G17</f>
        <v>232.66</v>
      </c>
      <c r="M17" s="9">
        <f>IF(F17="Daily",(1+E17/365)^(365/12),1+E17/12)</f>
        <v>1.00191844</v>
      </c>
      <c r="N17" s="32">
        <v>46174</v>
      </c>
      <c r="O17" s="10">
        <f>IF(ISNUMBER(N17),IF(F17="Daily",MAX(0,TODAY()-N17),MAX(0,DATEDIF(N17,TODAY(),"m"))),0)</f>
        <v>34</v>
      </c>
      <c r="P17" s="8">
        <f>G17*((1+H17)^O17-1)</f>
        <v>21.45</v>
      </c>
      <c r="Q17" s="8">
        <f>G17+P17</f>
        <v>10021.45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G18*E18/365</f>
        <v>0.99</v>
      </c>
      <c r="J18" s="10">
        <f>IF(F18="Daily",365,12)</f>
        <v>12</v>
      </c>
      <c r="K18" s="8">
        <f>G18*(1+H18)^J18</f>
        <v>12364.99</v>
      </c>
      <c r="L18" s="8">
        <f>K18-G18</f>
        <v>364.99</v>
      </c>
      <c r="M18" s="9">
        <f>IF(F18="Daily",(1+E18/365)^(365/12),1+E18/12)</f>
        <v>1.0025</v>
      </c>
      <c r="N18" s="32">
        <v>46174</v>
      </c>
      <c r="O18" s="10">
        <f>IF(ISNUMBER(N18),IF(F18="Daily",MAX(0,TODAY()-N18),MAX(0,DATEDIF(N18,TODAY(),"m"))),0)</f>
        <v>1</v>
      </c>
      <c r="P18" s="8">
        <f>G18*((1+H18)^O18-1)</f>
        <v>30.0</v>
      </c>
      <c r="Q18" s="8">
        <f>G18+P18</f>
        <v>12030.0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G19*E19/365</f>
        <v>0.71</v>
      </c>
      <c r="J19" s="10">
        <f>IF(F19="Daily",365,12)</f>
        <v>365</v>
      </c>
      <c r="K19" s="8">
        <f>G19*(1+H19)^J19</f>
        <v>8264.26</v>
      </c>
      <c r="L19" s="8">
        <f>K19-G19</f>
        <v>264.26</v>
      </c>
      <c r="M19" s="9">
        <f>IF(F19="Daily",(1+E19/365)^(365/12),1+E19/12)</f>
        <v>1.00271188</v>
      </c>
      <c r="N19" s="32">
        <v>46174</v>
      </c>
      <c r="O19" s="10">
        <f>IF(ISNUMBER(N19),IF(F19="Daily",MAX(0,TODAY()-N19),MAX(0,DATEDIF(N19,TODAY(),"m"))),0)</f>
        <v>34</v>
      </c>
      <c r="P19" s="8">
        <f>G19*((1+H19)^O19-1)</f>
        <v>24.25</v>
      </c>
      <c r="Q19" s="8">
        <f>G19+P19</f>
        <v>8024.25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493000.0</v>
      </c>
      <c r="H20" s="15"/>
      <c r="I20" s="16">
        <f>SUM(I6:I19)</f>
        <v>81.87</v>
      </c>
      <c r="J20" s="15"/>
      <c r="K20" s="16">
        <f>SUM(K6:K19)</f>
        <v>523813.51</v>
      </c>
      <c r="L20" s="16">
        <f>SUM(L6:L19)</f>
        <v>30813.51</v>
      </c>
      <c r="M20" s="15"/>
      <c r="N20" s="15"/>
      <c r="O20" s="15"/>
      <c r="P20" s="16">
        <f>SUM(P6:P19)</f>
        <v>2559.84</v>
      </c>
      <c r="Q20" s="16">
        <f>SUM(Q6:Q19)</f>
        <v>495559.84</v>
      </c>
    </row>
  </sheetData>
  <mergeCells count="8">
    <mergeCell ref="A1:Q1"/>
    <mergeCell ref="A2:B2"/>
    <mergeCell ref="C2:D2"/>
    <mergeCell ref="E2:F2"/>
    <mergeCell ref="G2:H2"/>
    <mergeCell ref="I2:J2"/>
    <mergeCell ref="A3:Q3"/>
    <mergeCell ref="A4:Q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