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calcPr calcId="0" fullCalcOnLoad="1"/>
</workbook>
</file>

<file path=xl/styles.xml><?xml version="1.0" encoding="utf-8"?>
<styleSheet xmlns="http://schemas.openxmlformats.org/spreadsheetml/2006/main">
  <numFmts count="1">
    <numFmt numFmtId="164" formatCode="&quot;PHP &quot;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📈 Savings Growth (12-Month Projection)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Dashboard!$E$54</c:f>
              <c:strCache>
                <c:ptCount val="1"/>
                <c:pt idx="0">
                  <c:v>Total Savings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circle"/>
            <c:size val="5"/>
          </c:marker>
          <c:cat>
            <c:numRef>
              <c:f>Dashboard!$D$55:$D$67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cat>
          <c:val>
            <c:numRef>
              <c:f>Dashboard!$E$55:$E$67</c:f>
              <c:numCache>
                <c:formatCode>General</c:formatCode>
                <c:ptCount val="13"/>
                <c:pt idx="0">
                  <c:v>493062.5</c:v>
                </c:pt>
                <c:pt idx="1">
                  <c:v>495554.2355</c:v>
                </c:pt>
                <c:pt idx="2">
                  <c:v>498059.5779</c:v>
                </c:pt>
                <c:pt idx="3">
                  <c:v>500578.6069</c:v>
                </c:pt>
                <c:pt idx="4">
                  <c:v>503111.4031</c:v>
                </c:pt>
                <c:pt idx="5">
                  <c:v>505658.0474</c:v>
                </c:pt>
                <c:pt idx="6">
                  <c:v>508218.6212</c:v>
                </c:pt>
                <c:pt idx="7">
                  <c:v>510793.2064</c:v>
                </c:pt>
                <c:pt idx="8">
                  <c:v>513381.8857</c:v>
                </c:pt>
                <c:pt idx="9">
                  <c:v>515984.7418</c:v>
                </c:pt>
                <c:pt idx="10">
                  <c:v>518601.8585</c:v>
                </c:pt>
                <c:pt idx="11">
                  <c:v>521233.3197</c:v>
                </c:pt>
                <c:pt idx="12">
                  <c:v>523879.2099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222"/>
      </c:catAx>
      <c:valAx>
        <c:axId val="222"/>
        <c:scaling>
          <c:orientation val="minMax"/>
        </c:scaling>
        <c:delete val="0"/>
        <c:axPos val="l"/>
        <c:numFmt formatCode="#,##0" sourceLinked="0"/>
        <c:crossAx val="111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Dashboard!$B$54</c:f>
              <c:strCache>
                <c:ptCount val="1"/>
                <c:pt idx="0">
                  <c:v>Total Savings</c:v>
                </c:pt>
              </c:strCache>
            </c:strRef>
          </c:tx>
          <c:cat>
            <c:strRef>
              <c:f>Dashboard!$A$55:$A$61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Dashboard!$B$55:$B$61</c:f>
              <c:numCache>
                <c:formatCode>General</c:formatCode>
                <c:ptCount val="7"/>
                <c:pt idx="0">
                  <c:v>273000.0</c:v>
                </c:pt>
                <c:pt idx="1">
                  <c:v>125000.0</c:v>
                </c:pt>
                <c:pt idx="2">
                  <c:v>50000.0</c:v>
                </c:pt>
                <c:pt idx="3">
                  <c:v>15062.5</c:v>
                </c:pt>
                <c:pt idx="4">
                  <c:v>10000.0</c:v>
                </c:pt>
                <c:pt idx="5">
                  <c:v>12000.0</c:v>
                </c:pt>
                <c:pt idx="6">
                  <c:v>8000.0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📊 Monthly Interest Earned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Dashboard!$F$54</c:f>
              <c:strCache>
                <c:ptCount val="1"/>
                <c:pt idx="0">
                  <c:v>Interest Earned</c:v>
                </c:pt>
              </c:strCache>
            </c:strRef>
          </c:tx>
          <c:spPr>
            <a:solidFill>
              <a:srgbClr val="548235"/>
            </a:solidFill>
          </c:spPr>
          <c:cat>
            <c:numRef>
              <c:f>Dashboard!$D$56:$D$67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Dashboard!$F$56:$F$67</c:f>
              <c:numCache>
                <c:formatCode>General</c:formatCode>
                <c:ptCount val="12"/>
                <c:pt idx="0">
                  <c:v>2491.7355</c:v>
                </c:pt>
                <c:pt idx="1">
                  <c:v>2505.3423</c:v>
                </c:pt>
                <c:pt idx="2">
                  <c:v>2519.029</c:v>
                </c:pt>
                <c:pt idx="3">
                  <c:v>2532.7962</c:v>
                </c:pt>
                <c:pt idx="4">
                  <c:v>2546.6443</c:v>
                </c:pt>
                <c:pt idx="5">
                  <c:v>2560.5738</c:v>
                </c:pt>
                <c:pt idx="6">
                  <c:v>2574.5853</c:v>
                </c:pt>
                <c:pt idx="7">
                  <c:v>2588.6792</c:v>
                </c:pt>
                <c:pt idx="8">
                  <c:v>2602.8562</c:v>
                </c:pt>
                <c:pt idx="9">
                  <c:v>2617.1167</c:v>
                </c:pt>
                <c:pt idx="10">
                  <c:v>2631.4612</c:v>
                </c:pt>
                <c:pt idx="11">
                  <c:v>2645.8903</c:v>
                </c:pt>
              </c:numCache>
            </c:numRef>
          </c:val>
        </c:ser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444"/>
      </c:catAx>
      <c:valAx>
        <c:axId val="444"/>
        <c:scaling>
          <c:orientation val="minMax"/>
        </c:scaling>
        <c:delete val="0"/>
        <c:axPos val="l"/>
        <c:numFmt formatCode="#,##0" sourceLinked="0"/>
        <c:crossAx val="333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6</xdr:col>
      <xdr:colOff>0</xdr:colOff>
      <xdr:row>27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7</xdr:row>
      <xdr:rowOff>0</xdr:rowOff>
    </xdr:from>
    <xdr:to>
      <xdr:col>13</xdr:col>
      <xdr:colOff>0</xdr:colOff>
      <xdr:row>27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28</xdr:row>
      <xdr:rowOff>0</xdr:rowOff>
    </xdr:from>
    <xdr:to>
      <xdr:col>13</xdr:col>
      <xdr:colOff>0</xdr:colOff>
      <xdr:row>49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205" totalsRowShown="0">
  <autoFilter ref="A5:F20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defaultRowHeight="15"/>
  <cols>
    <col min="1" max="1" width="16" customWidth="1"/>
    <col min="2" max="2" width="14" customWidth="1"/>
    <col min="3" max="3" width="4" customWidth="1"/>
    <col min="4" max="4" width="10" customWidth="1"/>
    <col min="5" max="5" width="16" customWidth="1"/>
    <col min="6" max="6" width="16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Overview of your savings across all digital banks. Figures update automatically from the Deposit, Transactions and Interest tabs.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📊 Overview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18" customHeight="1">
      <c r="A5" t="inlineStr" s="12">
        <is>
          <t xml:space="preserve">Total Savings</t>
        </is>
      </c>
      <c r="B5" s="12"/>
      <c r="C5" t="inlineStr" s="12">
        <is>
          <t xml:space="preserve">Total Deposits</t>
        </is>
      </c>
      <c r="D5" s="12"/>
      <c r="E5" t="inlineStr" s="12">
        <is>
          <t xml:space="preserve">Proj. Interest (1 Yr)</t>
        </is>
      </c>
      <c r="F5" s="12"/>
      <c r="G5" t="inlineStr" s="12">
        <is>
          <t xml:space="preserve">Proj. Balance (1 Yr)</t>
        </is>
      </c>
      <c r="H5" s="12"/>
      <c r="I5" s="12"/>
      <c r="J5" s="12"/>
      <c r="K5" s="12"/>
      <c r="L5" s="12"/>
      <c r="M5" s="12"/>
    </row>
    <row r="6" ht="34" customHeight="1">
      <c r="A6" s="13">
        <f>SUM(Balance!$F$6:$F$19)</f>
        <v>493062.5</v>
      </c>
      <c r="B6" s="13"/>
      <c r="C6" s="13">
        <f>SUM(Balance!$D$6:$D$19)</f>
        <v>490000.0</v>
      </c>
      <c r="D6" s="13"/>
      <c r="E6" s="13">
        <f>SUM(Balance!$G$6:$G$19)</f>
        <v>30816.71</v>
      </c>
      <c r="F6" s="13"/>
      <c r="G6" s="13">
        <f>SUM(Balance!$H$6:$H$19)</f>
        <v>523879.21</v>
      </c>
      <c r="H6" s="13"/>
      <c r="I6" s="12"/>
      <c r="J6" s="12"/>
      <c r="K6" s="12"/>
      <c r="L6" s="12"/>
      <c r="M6" s="12"/>
    </row>
    <row r="7" ht="8" customHeight="1"/>
    <row r="52" ht="22" customHeight="1">
      <c r="A52" t="inlineStr" s="4">
        <is>
          <t xml:space="preserve">🗂 Chart Data (auto-calculated — do not edit)</t>
        </is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</row>
    <row r="54">
      <c r="A54" t="inlineStr" s="22">
        <is>
          <t xml:space="preserve">Bank</t>
        </is>
      </c>
      <c r="B54" t="inlineStr" s="22">
        <is>
          <t xml:space="preserve">Total Savings</t>
        </is>
      </c>
      <c r="C54" s="22"/>
      <c r="D54" t="inlineStr" s="22">
        <is>
          <t xml:space="preserve">Month</t>
        </is>
      </c>
      <c r="E54" t="inlineStr" s="22">
        <is>
          <t xml:space="preserve">Total Savings</t>
        </is>
      </c>
      <c r="F54" t="inlineStr" s="22">
        <is>
          <t xml:space="preserve">Interest Earned</t>
        </is>
      </c>
      <c r="G54" s="22"/>
      <c r="H54" s="22"/>
      <c r="I54" s="22"/>
      <c r="J54" s="22"/>
      <c r="K54" s="22"/>
      <c r="L54" s="22"/>
      <c r="M54" s="22"/>
    </row>
    <row r="55">
      <c r="A55" t="inlineStr" s="7">
        <is>
          <t xml:space="preserve">Maya</t>
        </is>
      </c>
      <c r="B55" s="8">
        <f>SUMIF(Balance!$B$6:$B$19,A55,Balance!$F$6:$F$19)</f>
        <v>273000.0</v>
      </c>
      <c r="C55" s="7"/>
      <c r="D55" s="10">
        <v>0</v>
      </c>
      <c r="E55" s="8">
        <f>SUMPRODUCT(Interest!$G$6:$G$19,Interest!$M$6:$M$19^D55)</f>
        <v>493062.5</v>
      </c>
      <c r="F55" s="8">
        <v>0</v>
      </c>
      <c r="G55" s="21"/>
      <c r="H55" s="21"/>
      <c r="I55" s="21"/>
      <c r="J55" s="21"/>
      <c r="K55" s="21"/>
      <c r="L55" s="21"/>
      <c r="M55" s="21"/>
    </row>
    <row r="56">
      <c r="A56" t="inlineStr" s="7">
        <is>
          <t xml:space="preserve">UNO</t>
        </is>
      </c>
      <c r="B56" s="8">
        <f>SUMIF(Balance!$B$6:$B$19,A56,Balance!$F$6:$F$19)</f>
        <v>125000.0</v>
      </c>
      <c r="C56" s="7"/>
      <c r="D56" s="10">
        <v>1</v>
      </c>
      <c r="E56" s="8">
        <f>SUMPRODUCT(Interest!$G$6:$G$19,Interest!$M$6:$M$19^D56)</f>
        <v>495554.24</v>
      </c>
      <c r="F56" s="8">
        <f>E56-E55</f>
        <v>2491.74</v>
      </c>
      <c r="G56" s="21"/>
      <c r="H56" s="21"/>
      <c r="I56" s="21"/>
      <c r="J56" s="21"/>
      <c r="K56" s="21"/>
      <c r="L56" s="21"/>
      <c r="M56" s="21"/>
    </row>
    <row r="57">
      <c r="A57" t="inlineStr" s="7">
        <is>
          <t xml:space="preserve">Tonik</t>
        </is>
      </c>
      <c r="B57" s="8">
        <f>SUMIF(Balance!$B$6:$B$19,A57,Balance!$F$6:$F$19)</f>
        <v>50000.0</v>
      </c>
      <c r="C57" s="7"/>
      <c r="D57" s="10">
        <v>2</v>
      </c>
      <c r="E57" s="8">
        <f>SUMPRODUCT(Interest!$G$6:$G$19,Interest!$M$6:$M$19^D57)</f>
        <v>498059.58</v>
      </c>
      <c r="F57" s="8">
        <f>E57-E56</f>
        <v>2505.34</v>
      </c>
      <c r="G57" s="21"/>
      <c r="H57" s="21"/>
      <c r="I57" s="21"/>
      <c r="J57" s="21"/>
      <c r="K57" s="21"/>
      <c r="L57" s="21"/>
      <c r="M57" s="21"/>
    </row>
    <row r="58">
      <c r="A58" t="inlineStr" s="7">
        <is>
          <t xml:space="preserve">Banko</t>
        </is>
      </c>
      <c r="B58" s="8">
        <f>SUMIF(Balance!$B$6:$B$19,A58,Balance!$F$6:$F$19)</f>
        <v>15062.5</v>
      </c>
      <c r="C58" s="7"/>
      <c r="D58" s="10">
        <v>3</v>
      </c>
      <c r="E58" s="8">
        <f>SUMPRODUCT(Interest!$G$6:$G$19,Interest!$M$6:$M$19^D58)</f>
        <v>500578.61</v>
      </c>
      <c r="F58" s="8">
        <f>E58-E57</f>
        <v>2519.03</v>
      </c>
      <c r="G58" s="21"/>
      <c r="H58" s="21"/>
      <c r="I58" s="21"/>
      <c r="J58" s="21"/>
      <c r="K58" s="21"/>
      <c r="L58" s="21"/>
      <c r="M58" s="21"/>
    </row>
    <row r="59">
      <c r="A59" t="inlineStr" s="7">
        <is>
          <t xml:space="preserve">CIMB</t>
        </is>
      </c>
      <c r="B59" s="8">
        <f>SUMIF(Balance!$B$6:$B$19,A59,Balance!$F$6:$F$19)</f>
        <v>10000.0</v>
      </c>
      <c r="C59" s="7"/>
      <c r="D59" s="10">
        <v>4</v>
      </c>
      <c r="E59" s="8">
        <f>SUMPRODUCT(Interest!$G$6:$G$19,Interest!$M$6:$M$19^D59)</f>
        <v>503111.4</v>
      </c>
      <c r="F59" s="8">
        <f>E59-E58</f>
        <v>2532.8</v>
      </c>
      <c r="G59" s="21"/>
      <c r="H59" s="21"/>
      <c r="I59" s="21"/>
      <c r="J59" s="21"/>
      <c r="K59" s="21"/>
      <c r="L59" s="21"/>
      <c r="M59" s="21"/>
    </row>
    <row r="60">
      <c r="A60" t="inlineStr" s="7">
        <is>
          <t xml:space="preserve">GoTyme</t>
        </is>
      </c>
      <c r="B60" s="8">
        <f>SUMIF(Balance!$B$6:$B$19,A60,Balance!$F$6:$F$19)</f>
        <v>12000.0</v>
      </c>
      <c r="C60" s="7"/>
      <c r="D60" s="10">
        <v>5</v>
      </c>
      <c r="E60" s="8">
        <f>SUMPRODUCT(Interest!$G$6:$G$19,Interest!$M$6:$M$19^D60)</f>
        <v>505658.05</v>
      </c>
      <c r="F60" s="8">
        <f>E60-E59</f>
        <v>2546.64</v>
      </c>
      <c r="G60" s="21"/>
      <c r="H60" s="21"/>
      <c r="I60" s="21"/>
      <c r="J60" s="21"/>
      <c r="K60" s="21"/>
      <c r="L60" s="21"/>
      <c r="M60" s="21"/>
    </row>
    <row r="61">
      <c r="A61" t="inlineStr" s="7">
        <is>
          <t xml:space="preserve">Maribank</t>
        </is>
      </c>
      <c r="B61" s="8">
        <f>SUMIF(Balance!$B$6:$B$19,A61,Balance!$F$6:$F$19)</f>
        <v>8000.0</v>
      </c>
      <c r="C61" s="7"/>
      <c r="D61" s="10">
        <v>6</v>
      </c>
      <c r="E61" s="8">
        <f>SUMPRODUCT(Interest!$G$6:$G$19,Interest!$M$6:$M$19^D61)</f>
        <v>508218.62</v>
      </c>
      <c r="F61" s="8">
        <f>E61-E60</f>
        <v>2560.57</v>
      </c>
      <c r="G61" s="21"/>
      <c r="H61" s="21"/>
      <c r="I61" s="21"/>
      <c r="J61" s="21"/>
      <c r="K61" s="21"/>
      <c r="L61" s="21"/>
      <c r="M61" s="21"/>
    </row>
    <row r="62">
      <c r="A62" s="7"/>
      <c r="B62" s="8"/>
      <c r="C62" s="7"/>
      <c r="D62" s="10">
        <v>7</v>
      </c>
      <c r="E62" s="8">
        <f>SUMPRODUCT(Interest!$G$6:$G$19,Interest!$M$6:$M$19^D62)</f>
        <v>510793.21</v>
      </c>
      <c r="F62" s="8">
        <f>E62-E61</f>
        <v>2574.59</v>
      </c>
      <c r="G62" s="21"/>
      <c r="H62" s="21"/>
      <c r="I62" s="21"/>
      <c r="J62" s="21"/>
      <c r="K62" s="21"/>
      <c r="L62" s="21"/>
      <c r="M62" s="21"/>
    </row>
    <row r="63">
      <c r="A63" s="7"/>
      <c r="B63" s="8"/>
      <c r="C63" s="7"/>
      <c r="D63" s="10">
        <v>8</v>
      </c>
      <c r="E63" s="8">
        <f>SUMPRODUCT(Interest!$G$6:$G$19,Interest!$M$6:$M$19^D63)</f>
        <v>513381.89</v>
      </c>
      <c r="F63" s="8">
        <f>E63-E62</f>
        <v>2588.68</v>
      </c>
      <c r="G63" s="21"/>
      <c r="H63" s="21"/>
      <c r="I63" s="21"/>
      <c r="J63" s="21"/>
      <c r="K63" s="21"/>
      <c r="L63" s="21"/>
      <c r="M63" s="21"/>
    </row>
    <row r="64">
      <c r="A64" s="7"/>
      <c r="B64" s="8"/>
      <c r="C64" s="7"/>
      <c r="D64" s="10">
        <v>9</v>
      </c>
      <c r="E64" s="8">
        <f>SUMPRODUCT(Interest!$G$6:$G$19,Interest!$M$6:$M$19^D64)</f>
        <v>515984.74</v>
      </c>
      <c r="F64" s="8">
        <f>E64-E63</f>
        <v>2602.86</v>
      </c>
      <c r="G64" s="21"/>
      <c r="H64" s="21"/>
      <c r="I64" s="21"/>
      <c r="J64" s="21"/>
      <c r="K64" s="21"/>
      <c r="L64" s="21"/>
      <c r="M64" s="21"/>
    </row>
    <row r="65">
      <c r="A65" s="7"/>
      <c r="B65" s="8"/>
      <c r="C65" s="7"/>
      <c r="D65" s="10">
        <v>10</v>
      </c>
      <c r="E65" s="8">
        <f>SUMPRODUCT(Interest!$G$6:$G$19,Interest!$M$6:$M$19^D65)</f>
        <v>518601.86</v>
      </c>
      <c r="F65" s="8">
        <f>E65-E64</f>
        <v>2617.12</v>
      </c>
      <c r="G65" s="21"/>
      <c r="H65" s="21"/>
      <c r="I65" s="21"/>
      <c r="J65" s="21"/>
      <c r="K65" s="21"/>
      <c r="L65" s="21"/>
      <c r="M65" s="21"/>
    </row>
    <row r="66">
      <c r="A66" s="7"/>
      <c r="B66" s="8"/>
      <c r="C66" s="7"/>
      <c r="D66" s="10">
        <v>11</v>
      </c>
      <c r="E66" s="8">
        <f>SUMPRODUCT(Interest!$G$6:$G$19,Interest!$M$6:$M$19^D66)</f>
        <v>521233.32</v>
      </c>
      <c r="F66" s="8">
        <f>E66-E65</f>
        <v>2631.46</v>
      </c>
      <c r="G66" s="21"/>
      <c r="H66" s="21"/>
      <c r="I66" s="21"/>
      <c r="J66" s="21"/>
      <c r="K66" s="21"/>
      <c r="L66" s="21"/>
      <c r="M66" s="21"/>
    </row>
    <row r="67">
      <c r="A67" s="7"/>
      <c r="B67" s="8"/>
      <c r="C67" s="7"/>
      <c r="D67" s="10">
        <v>12</v>
      </c>
      <c r="E67" s="8">
        <f>SUMPRODUCT(Interest!$G$6:$G$19,Interest!$M$6:$M$19^D67)</f>
        <v>523879.21</v>
      </c>
      <c r="F67" s="8">
        <f>E67-E66</f>
        <v>2645.89</v>
      </c>
      <c r="G67" s="21"/>
      <c r="H67" s="21"/>
      <c r="I67" s="21"/>
      <c r="J67" s="21"/>
      <c r="K67" s="21"/>
      <c r="L67" s="21"/>
      <c r="M67" s="21"/>
    </row>
  </sheetData>
  <mergeCells count="17">
    <mergeCell ref="A1:M1"/>
    <mergeCell ref="A2:B2"/>
    <mergeCell ref="C2:D2"/>
    <mergeCell ref="E2:F2"/>
    <mergeCell ref="G2:H2"/>
    <mergeCell ref="I2:J2"/>
    <mergeCell ref="A3:M3"/>
    <mergeCell ref="A4:M4"/>
    <mergeCell ref="A5:B5"/>
    <mergeCell ref="A6:B6"/>
    <mergeCell ref="C5:D5"/>
    <mergeCell ref="C6:D6"/>
    <mergeCell ref="E5:F5"/>
    <mergeCell ref="E6:F6"/>
    <mergeCell ref="G5:H5"/>
    <mergeCell ref="G6:H6"/>
    <mergeCell ref="A52:M52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All money movements: deposits, withdrawals, transfers and interest postings. Use negative amounts for money out. Filter by any column.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(use the filter arrows to search / sort)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  <c r="G5" s="6"/>
      <c r="H5" s="6"/>
      <c r="I5" s="6"/>
      <c r="J5" s="6"/>
      <c r="K5" s="6"/>
      <c r="L5" s="6"/>
      <c r="M5" s="6"/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46193</v>
      </c>
      <c r="B7" t="inlineStr" s="21">
        <is>
          <t xml:space="preserve">Interest</t>
        </is>
      </c>
      <c r="C7" t="inlineStr" s="21">
        <is>
          <t xml:space="preserve">Banko</t>
        </is>
      </c>
      <c r="D7" t="inlineStr" s="21">
        <is>
          <t xml:space="preserve">Banko - Savings</t>
        </is>
      </c>
      <c r="E7" s="19">
        <v>62.5</v>
      </c>
      <c r="F7" t="inlineStr" s="21">
        <is>
          <t xml:space="preserve">Interest posting (example)</t>
        </is>
      </c>
    </row>
    <row r="8">
      <c r="A8" s="20">
        <v>46198</v>
      </c>
      <c r="B8" t="inlineStr" s="21">
        <is>
          <t xml:space="preserve">Transfer</t>
        </is>
      </c>
      <c r="C8" t="inlineStr" s="21">
        <is>
          <t xml:space="preserve">UNO</t>
        </is>
      </c>
      <c r="D8" t="inlineStr" s="21">
        <is>
          <t xml:space="preserve">UNO - Digi Savings</t>
        </is>
      </c>
      <c r="E8" s="19">
        <v>5000</v>
      </c>
      <c r="F8" t="inlineStr" s="21">
        <is>
          <t xml:space="preserve">Transfer in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8" customWidth="1"/>
    <col min="9" max="9" width="10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Current balance per account = Deposits + Net Transactions. Projected columns include compounding interest from the Interest tab.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Current Balance</t>
        </is>
      </c>
      <c r="G5" t="inlineStr" s="6">
        <is>
          <t xml:space="preserve">Interest (1 Yr)</t>
        </is>
      </c>
      <c r="H5" t="inlineStr" s="6">
        <is>
          <t xml:space="preserve">Proj. Balance (1 Yr)</t>
        </is>
      </c>
      <c r="I5" s="6"/>
      <c r="J5" s="6"/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SUMIFS(Transactions!$E$6:$E$205,Transactions!$D$6:$D$205,C6)</f>
        <v>-2000.0</v>
      </c>
      <c r="F6" s="8">
        <f>D6+E6</f>
        <v>48000.0</v>
      </c>
      <c r="G6" s="8">
        <f>IFERROR(VLOOKUP(C6,Interest!$D$6:$L$19,9,FALSE),0)</f>
        <v>5047.48</v>
      </c>
      <c r="H6" s="8">
        <f>F6+G6</f>
        <v>53047.48</v>
      </c>
      <c r="I6" s="21"/>
      <c r="J6" s="21"/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SUMIFS(Transactions!$E$6:$E$205,Transactions!$D$6:$D$205,C7)</f>
        <v>0.0</v>
      </c>
      <c r="F7" s="8">
        <f>D7+E7</f>
        <v>100000.0</v>
      </c>
      <c r="G7" s="8">
        <f>IFERROR(VLOOKUP(C7,Interest!$D$6:$L$19,9,FALSE),0)</f>
        <v>6167.78</v>
      </c>
      <c r="H7" s="8">
        <f>F7+G7</f>
        <v>106167.78</v>
      </c>
      <c r="I7" s="21"/>
      <c r="J7" s="21"/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SUMIFS(Transactions!$E$6:$E$205,Transactions!$D$6:$D$205,C8)</f>
        <v>0.0</v>
      </c>
      <c r="F8" s="8">
        <f>D8+E8</f>
        <v>100000.0</v>
      </c>
      <c r="G8" s="8">
        <f>IFERROR(VLOOKUP(C8,Interest!$D$6:$L$19,9,FALSE),0)</f>
        <v>6167.78</v>
      </c>
      <c r="H8" s="8">
        <f>F8+G8</f>
        <v>106167.78</v>
      </c>
      <c r="I8" s="21"/>
      <c r="J8" s="21"/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SUMIFS(Transactions!$E$6:$E$205,Transactions!$D$6:$D$205,C9)</f>
        <v>0.0</v>
      </c>
      <c r="F9" s="8">
        <f>D9+E9</f>
        <v>25000.0</v>
      </c>
      <c r="G9" s="8">
        <f>IFERROR(VLOOKUP(C9,Interest!$D$6:$L$19,9,FALSE),0)</f>
        <v>1436.5</v>
      </c>
      <c r="H9" s="8">
        <f>F9+G9</f>
        <v>26436.5</v>
      </c>
      <c r="I9" s="21"/>
      <c r="J9" s="21"/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SUMIFS(Transactions!$E$6:$E$205,Transactions!$D$6:$D$205,C10)</f>
        <v>5000.0</v>
      </c>
      <c r="F10" s="8">
        <f>D10+E10</f>
        <v>25000.0</v>
      </c>
      <c r="G10" s="8">
        <f>IFERROR(VLOOKUP(C10,Interest!$D$6:$L$19,9,FALSE),0)</f>
        <v>890.45</v>
      </c>
      <c r="H10" s="8">
        <f>F10+G10</f>
        <v>25890.45</v>
      </c>
      <c r="I10" s="21"/>
      <c r="J10" s="21"/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SUMIFS(Transactions!$E$6:$E$205,Transactions!$D$6:$D$205,C11)</f>
        <v>0.0</v>
      </c>
      <c r="F11" s="8">
        <f>D11+E11</f>
        <v>50000.0</v>
      </c>
      <c r="G11" s="8">
        <f>IFERROR(VLOOKUP(C11,Interest!$D$6:$L$19,9,FALSE),0)</f>
        <v>3083.89</v>
      </c>
      <c r="H11" s="8">
        <f>F11+G11</f>
        <v>53083.89</v>
      </c>
      <c r="I11" s="21"/>
      <c r="J11" s="21"/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SUMIFS(Transactions!$E$6:$E$205,Transactions!$D$6:$D$205,C12)</f>
        <v>0.0</v>
      </c>
      <c r="F12" s="8">
        <f>D12+E12</f>
        <v>50000.0</v>
      </c>
      <c r="G12" s="8">
        <f>IFERROR(VLOOKUP(C12,Interest!$D$6:$L$19,9,FALSE),0)</f>
        <v>3083.89</v>
      </c>
      <c r="H12" s="8">
        <f>F12+G12</f>
        <v>53083.89</v>
      </c>
      <c r="I12" s="21"/>
      <c r="J12" s="21"/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SUMIFS(Transactions!$E$6:$E$205,Transactions!$D$6:$D$205,C13)</f>
        <v>0.0</v>
      </c>
      <c r="F13" s="8">
        <f>D13+E13</f>
        <v>10000.0</v>
      </c>
      <c r="G13" s="8">
        <f>IFERROR(VLOOKUP(C13,Interest!$D$6:$L$19,9,FALSE),0)</f>
        <v>407.42</v>
      </c>
      <c r="H13" s="8">
        <f>F13+G13</f>
        <v>10407.42</v>
      </c>
      <c r="I13" s="21"/>
      <c r="J13" s="21"/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SUMIFS(Transactions!$E$6:$E$205,Transactions!$D$6:$D$205,C14)</f>
        <v>0.0</v>
      </c>
      <c r="F14" s="8">
        <f>D14+E14</f>
        <v>10000.0</v>
      </c>
      <c r="G14" s="8">
        <f>IFERROR(VLOOKUP(C14,Interest!$D$6:$L$19,9,FALSE),0)</f>
        <v>407.42</v>
      </c>
      <c r="H14" s="8">
        <f>F14+G14</f>
        <v>10407.42</v>
      </c>
      <c r="I14" s="21"/>
      <c r="J14" s="21"/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SUMIFS(Transactions!$E$6:$E$205,Transactions!$D$6:$D$205,C15)</f>
        <v>0.0</v>
      </c>
      <c r="F15" s="8">
        <f>D15+E15</f>
        <v>30000.0</v>
      </c>
      <c r="G15" s="8">
        <f>IFERROR(VLOOKUP(C15,Interest!$D$6:$L$19,9,FALSE),0)</f>
        <v>2489.99</v>
      </c>
      <c r="H15" s="8">
        <f>F15+G15</f>
        <v>32489.99</v>
      </c>
      <c r="I15" s="21"/>
      <c r="J15" s="21"/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SUMIFS(Transactions!$E$6:$E$205,Transactions!$D$6:$D$205,C16)</f>
        <v>62.5</v>
      </c>
      <c r="F16" s="8">
        <f>D16+E16</f>
        <v>15062.5</v>
      </c>
      <c r="G16" s="8">
        <f>IFERROR(VLOOKUP(C16,Interest!$D$6:$L$19,9,FALSE),0)</f>
        <v>772.22</v>
      </c>
      <c r="H16" s="8">
        <f>F16+G16</f>
        <v>15834.72</v>
      </c>
      <c r="I16" s="21"/>
      <c r="J16" s="21"/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SUMIFS(Transactions!$E$6:$E$205,Transactions!$D$6:$D$205,C17)</f>
        <v>0.0</v>
      </c>
      <c r="F17" s="8">
        <f>D17+E17</f>
        <v>10000.0</v>
      </c>
      <c r="G17" s="8">
        <f>IFERROR(VLOOKUP(C17,Interest!$D$6:$L$19,9,FALSE),0)</f>
        <v>232.66</v>
      </c>
      <c r="H17" s="8">
        <f>F17+G17</f>
        <v>10232.66</v>
      </c>
      <c r="I17" s="21"/>
      <c r="J17" s="21"/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SUMIFS(Transactions!$E$6:$E$205,Transactions!$D$6:$D$205,C18)</f>
        <v>0.0</v>
      </c>
      <c r="F18" s="8">
        <f>D18+E18</f>
        <v>12000.0</v>
      </c>
      <c r="G18" s="8">
        <f>IFERROR(VLOOKUP(C18,Interest!$D$6:$L$19,9,FALSE),0)</f>
        <v>364.99</v>
      </c>
      <c r="H18" s="8">
        <f>F18+G18</f>
        <v>12364.99</v>
      </c>
      <c r="I18" s="21"/>
      <c r="J18" s="21"/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SUMIFS(Transactions!$E$6:$E$205,Transactions!$D$6:$D$205,C19)</f>
        <v>0.0</v>
      </c>
      <c r="F19" s="8">
        <f>D19+E19</f>
        <v>8000.0</v>
      </c>
      <c r="G19" s="8">
        <f>IFERROR(VLOOKUP(C19,Interest!$D$6:$L$19,9,FALSE),0)</f>
        <v>264.26</v>
      </c>
      <c r="H19" s="8">
        <f>F19+G19</f>
        <v>8264.26</v>
      </c>
      <c r="I19" s="21"/>
      <c r="J19" s="21"/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3062.5</v>
      </c>
      <c r="F20" s="16">
        <f>SUM(F6:F19)</f>
        <v>493062.5</v>
      </c>
      <c r="G20" s="16">
        <f>SUM(G6:G19)</f>
        <v>30816.71</v>
      </c>
      <c r="H20" s="16">
        <f>SUM(H6:H19)</f>
        <v>523879.21</v>
      </c>
      <c r="I20" s="16"/>
      <c r="J20" s="16"/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4" customWidth="1"/>
    <col min="5" max="5" width="11" customWidth="1"/>
    <col min="6" max="6" width="11" customWidth="1"/>
    <col min="7" max="7" width="16" customWidth="1"/>
    <col min="8" max="8" width="12" customWidth="1"/>
    <col min="9" max="9" width="16" customWidth="1"/>
    <col min="10" max="10" width="11" customWidth="1"/>
    <col min="11" max="11" width="18" customWidth="1"/>
    <col min="12" max="12" width="16" customWidth="1"/>
    <col min="13" max="13" width="13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</row>
    <row r="3" ht="22" customHeight="1">
      <c r="A3" t="inlineStr" s="5">
        <is>
          <t xml:space="preserve">Interest rates &amp; auto-calculated earnings. Daily accounts compound daily (rate/365); monthly accounts compound monthly (rate/12). Maya Savings overridden to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📈 Interest Rates &amp; Earnings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Period</t>
        </is>
      </c>
      <c r="J5" t="inlineStr" s="6">
        <is>
          <t xml:space="preserve">Periods / Yr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G6*H6</f>
        <v>13.15</v>
      </c>
      <c r="J6" s="10">
        <f>IF(F6="Daily",365,12)</f>
        <v>365</v>
      </c>
      <c r="K6" s="8">
        <f>G6*(1+H6)^J6</f>
        <v>53047.48</v>
      </c>
      <c r="L6" s="8">
        <f>K6-G6</f>
        <v>5047.48</v>
      </c>
      <c r="M6" s="9">
        <f>IF(F6="Daily",(1+E6/365)^(365/12),1+E6/12)</f>
        <v>1.008367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G7*H7</f>
        <v>500.0</v>
      </c>
      <c r="J7" s="10">
        <f>IF(F7="Daily",365,12)</f>
        <v>12</v>
      </c>
      <c r="K7" s="8">
        <f>G7*(1+H7)^J7</f>
        <v>106167.78</v>
      </c>
      <c r="L7" s="8">
        <f>K7-G7</f>
        <v>6167.78</v>
      </c>
      <c r="M7" s="9">
        <f>IF(F7="Daily",(1+E7/365)^(365/12),1+E7/12)</f>
        <v>1.005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G8*H8</f>
        <v>500.0</v>
      </c>
      <c r="J8" s="10">
        <f>IF(F8="Daily",365,12)</f>
        <v>12</v>
      </c>
      <c r="K8" s="8">
        <f>G8*(1+H8)^J8</f>
        <v>106167.78</v>
      </c>
      <c r="L8" s="8">
        <f>K8-G8</f>
        <v>6167.78</v>
      </c>
      <c r="M8" s="9">
        <f>IF(F8="Daily",(1+E8/365)^(365/12),1+E8/12)</f>
        <v>1.005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G9*H9</f>
        <v>116.67</v>
      </c>
      <c r="J9" s="10">
        <f>IF(F9="Daily",365,12)</f>
        <v>12</v>
      </c>
      <c r="K9" s="8">
        <f>G9*(1+H9)^J9</f>
        <v>26436.5</v>
      </c>
      <c r="L9" s="8">
        <f>K9-G9</f>
        <v>1436.5</v>
      </c>
      <c r="M9" s="9">
        <f>IF(F9="Daily",(1+E9/365)^(365/12),1+E9/12)</f>
        <v>1.00466667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G10*H10</f>
        <v>2.4</v>
      </c>
      <c r="J10" s="10">
        <f>IF(F10="Daily",365,12)</f>
        <v>365</v>
      </c>
      <c r="K10" s="8">
        <f>G10*(1+H10)^J10</f>
        <v>25890.45</v>
      </c>
      <c r="L10" s="8">
        <f>K10-G10</f>
        <v>890.45</v>
      </c>
      <c r="M10" s="9">
        <f>IF(F10="Daily",(1+E10/365)^(365/12),1+E10/12)</f>
        <v>1.00292078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G11*H11</f>
        <v>250.0</v>
      </c>
      <c r="J11" s="10">
        <f>IF(F11="Daily",365,12)</f>
        <v>12</v>
      </c>
      <c r="K11" s="8">
        <f>G11*(1+H11)^J11</f>
        <v>53083.89</v>
      </c>
      <c r="L11" s="8">
        <f>K11-G11</f>
        <v>3083.89</v>
      </c>
      <c r="M11" s="9">
        <f>IF(F11="Daily",(1+E11/365)^(365/12),1+E11/12)</f>
        <v>1.005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G12*H12</f>
        <v>250.0</v>
      </c>
      <c r="J12" s="10">
        <f>IF(F12="Daily",365,12)</f>
        <v>12</v>
      </c>
      <c r="K12" s="8">
        <f>G12*(1+H12)^J12</f>
        <v>53083.89</v>
      </c>
      <c r="L12" s="8">
        <f>K12-G12</f>
        <v>3083.89</v>
      </c>
      <c r="M12" s="9">
        <f>IF(F12="Daily",(1+E12/365)^(365/12),1+E12/12)</f>
        <v>1.005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G13*H13</f>
        <v>33.33</v>
      </c>
      <c r="J13" s="10">
        <f>IF(F13="Daily",365,12)</f>
        <v>12</v>
      </c>
      <c r="K13" s="8">
        <f>G13*(1+H13)^J13</f>
        <v>10407.42</v>
      </c>
      <c r="L13" s="8">
        <f>K13-G13</f>
        <v>407.42</v>
      </c>
      <c r="M13" s="9">
        <f>IF(F13="Daily",(1+E13/365)^(365/12),1+E13/12)</f>
        <v>1.00333333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G14*H14</f>
        <v>33.33</v>
      </c>
      <c r="J14" s="10">
        <f>IF(F14="Daily",365,12)</f>
        <v>12</v>
      </c>
      <c r="K14" s="8">
        <f>G14*(1+H14)^J14</f>
        <v>10407.42</v>
      </c>
      <c r="L14" s="8">
        <f>K14-G14</f>
        <v>407.42</v>
      </c>
      <c r="M14" s="9">
        <f>IF(F14="Daily",(1+E14/365)^(365/12),1+E14/12)</f>
        <v>1.00333333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G15*H15</f>
        <v>200.0</v>
      </c>
      <c r="J15" s="10">
        <f>IF(F15="Daily",365,12)</f>
        <v>12</v>
      </c>
      <c r="K15" s="8">
        <f>G15*(1+H15)^J15</f>
        <v>32489.99</v>
      </c>
      <c r="L15" s="8">
        <f>K15-G15</f>
        <v>2489.99</v>
      </c>
      <c r="M15" s="9">
        <f>IF(F15="Daily",(1+E15/365)^(365/12),1+E15/12)</f>
        <v>1.00666667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15062.5</v>
      </c>
      <c r="H16" s="9">
        <f>IF(F16="Daily",E16/365,E16/12)</f>
        <v>0.00013699</v>
      </c>
      <c r="I16" s="8">
        <f>G16*H16</f>
        <v>2.06</v>
      </c>
      <c r="J16" s="10">
        <f>IF(F16="Daily",365,12)</f>
        <v>365</v>
      </c>
      <c r="K16" s="8">
        <f>G16*(1+H16)^J16</f>
        <v>15834.72</v>
      </c>
      <c r="L16" s="8">
        <f>K16-G16</f>
        <v>772.22</v>
      </c>
      <c r="M16" s="9">
        <f>IF(F16="Daily",(1+E16/365)^(365/12),1+E16/12)</f>
        <v>1.00417507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G17*H17</f>
        <v>0.63</v>
      </c>
      <c r="J17" s="10">
        <f>IF(F17="Daily",365,12)</f>
        <v>365</v>
      </c>
      <c r="K17" s="8">
        <f>G17*(1+H17)^J17</f>
        <v>10232.66</v>
      </c>
      <c r="L17" s="8">
        <f>K17-G17</f>
        <v>232.66</v>
      </c>
      <c r="M17" s="9">
        <f>IF(F17="Daily",(1+E17/365)^(365/12),1+E17/12)</f>
        <v>1.00191844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G18*H18</f>
        <v>30.0</v>
      </c>
      <c r="J18" s="10">
        <f>IF(F18="Daily",365,12)</f>
        <v>12</v>
      </c>
      <c r="K18" s="8">
        <f>G18*(1+H18)^J18</f>
        <v>12364.99</v>
      </c>
      <c r="L18" s="8">
        <f>K18-G18</f>
        <v>364.99</v>
      </c>
      <c r="M18" s="9">
        <f>IF(F18="Daily",(1+E18/365)^(365/12),1+E18/12)</f>
        <v>1.0025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G19*H19</f>
        <v>0.71</v>
      </c>
      <c r="J19" s="10">
        <f>IF(F19="Daily",365,12)</f>
        <v>365</v>
      </c>
      <c r="K19" s="8">
        <f>G19*(1+H19)^J19</f>
        <v>8264.26</v>
      </c>
      <c r="L19" s="8">
        <f>K19-G19</f>
        <v>264.26</v>
      </c>
      <c r="M19" s="9">
        <f>IF(F19="Daily",(1+E19/365)^(365/12),1+E19/12)</f>
        <v>1.00271188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493062.5</v>
      </c>
      <c r="H20" s="15"/>
      <c r="I20" s="16">
        <f>SUM(I6:I19)</f>
        <v>1932.29</v>
      </c>
      <c r="J20" s="15"/>
      <c r="K20" s="16">
        <f>SUM(K6:K19)</f>
        <v>523879.21</v>
      </c>
      <c r="L20" s="16">
        <f>SUM(L6:L19)</f>
        <v>30816.71</v>
      </c>
      <c r="M20" s="15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