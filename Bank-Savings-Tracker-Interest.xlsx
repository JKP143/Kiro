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est" sheetId="1" r:id="rId1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&quot;PHP &quot;#,##0.00"/>
  </numFmts>
  <fonts count="4">
    <font>
      <sz val="11"/>
      <name val="Calibri"/>
    </font>
    <font>
      <b/>
      <sz val="11"/>
      <color rgb="FFFFFFFF"/>
      <name val="Calibri"/>
    </font>
    <font>
      <b/>
      <sz val="16"/>
      <color rgb="FF1F386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10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/>
    <xf numFmtId="164" fontId="0" fillId="3" borderId="1" xfId="0" applyNumberFormat="1" applyFill="1" applyBorder="1"/>
    <xf numFmtId="164" fontId="3" fillId="0" borderId="1" xfId="0" applyNumberFormat="1" applyFont="1" applyBorder="1"/>
    <xf numFmtId="0" fontId="3" fillId="0" borderId="1" xfId="0" applyFont="1" applyBorder="1"/>
    <xf numFmtId="0" fontId="0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16" customWidth="1"/>
    <col min="3" max="3" width="14" customWidth="1"/>
    <col min="4" max="4" width="22" customWidth="1"/>
    <col min="5" max="5" width="12" customWidth="1"/>
    <col min="6" max="6" width="11" customWidth="1"/>
    <col min="7" max="7" width="17" customWidth="1"/>
    <col min="8" max="8" width="12" customWidth="1"/>
    <col min="9" max="9" width="18" customWidth="1"/>
    <col min="10" max="10" width="11" customWidth="1"/>
    <col min="11" max="11" width="21" customWidth="1"/>
    <col min="12" max="12" width="20" customWidth="1"/>
  </cols>
  <sheetData>
    <row r="1" ht="24" customHeight="1">
      <c r="A1" t="inlineStr" s="1">
        <is>
          <t xml:space="preserve">Interest Rates &amp; Earnings by Account</t>
        </is>
      </c>
    </row>
    <row r="2" ht="30" customHeight="1">
      <c r="A2" t="inlineStr" s="10">
        <is>
          <t xml:space="preserve">Rates from your bank notes (Maya Savings overridden to 10%). Edit only the yellow Current Balance column - all other columns calculate automatically. Daily accounts compound daily (rate/365); Monthly accounts compound monthly (rate/12).</t>
        </is>
      </c>
    </row>
    <row r="3" ht="30" customHeight="1">
      <c r="A3" t="inlineStr" s="2">
        <is>
          <t xml:space="preserve">Bank</t>
        </is>
      </c>
      <c r="B3" t="inlineStr" s="2">
        <is>
          <t xml:space="preserve">Account</t>
        </is>
      </c>
      <c r="C3" t="inlineStr" s="2">
        <is>
          <t xml:space="preserve">Account Type</t>
        </is>
      </c>
      <c r="D3" t="inlineStr" s="2">
        <is>
          <t xml:space="preserve">Account Label</t>
        </is>
      </c>
      <c r="E3" t="inlineStr" s="2">
        <is>
          <t xml:space="preserve">Annual Rate</t>
        </is>
      </c>
      <c r="F3" t="inlineStr" s="2">
        <is>
          <t xml:space="preserve">Frequency</t>
        </is>
      </c>
      <c r="G3" t="inlineStr" s="2">
        <is>
          <t xml:space="preserve">Current Balance</t>
        </is>
      </c>
      <c r="H3" t="inlineStr" s="2">
        <is>
          <t xml:space="preserve">Periodic Rate</t>
        </is>
      </c>
      <c r="I3" t="inlineStr" s="2">
        <is>
          <t xml:space="preserve">Interest / Period</t>
        </is>
      </c>
      <c r="J3" t="inlineStr" s="2">
        <is>
          <t xml:space="preserve">Periods / Yr</t>
        </is>
      </c>
      <c r="K3" t="inlineStr" s="2">
        <is>
          <t xml:space="preserve">Proj. Balance (1 Yr)</t>
        </is>
      </c>
      <c r="L3" t="inlineStr" s="2">
        <is>
          <t xml:space="preserve">Interest Earned (1 Yr)</t>
        </is>
      </c>
    </row>
    <row r="4">
      <c r="A4" t="inlineStr" s="6">
        <is>
          <t xml:space="preserve">Maya</t>
        </is>
      </c>
      <c r="B4" t="inlineStr" s="6">
        <is>
          <t xml:space="preserve">Savings</t>
        </is>
      </c>
      <c r="C4" t="inlineStr" s="6">
        <is>
          <t xml:space="preserve">Savings</t>
        </is>
      </c>
      <c r="D4" t="inlineStr" s="6">
        <is>
          <t xml:space="preserve">Maya - Savings</t>
        </is>
      </c>
      <c r="E4" s="3">
        <v>0.1</v>
      </c>
      <c r="F4" t="inlineStr" s="6">
        <is>
          <t xml:space="preserve">Daily</t>
        </is>
      </c>
      <c r="G4" s="7">
        <v>50000</v>
      </c>
      <c r="H4" s="3">
        <f>IF(F4="Daily",E4/365,E4/12)</f>
      </c>
      <c r="I4" s="4">
        <f>G4*H4</f>
      </c>
      <c r="J4" s="5">
        <f>IF(F4="Daily",365,12)</f>
      </c>
      <c r="K4" s="4">
        <f>G4*(1+H4)^J4</f>
      </c>
      <c r="L4" s="4">
        <f>K4-G4</f>
      </c>
    </row>
    <row r="5">
      <c r="A5" t="inlineStr" s="6">
        <is>
          <t xml:space="preserve">Maya</t>
        </is>
      </c>
      <c r="B5" t="inlineStr" s="6">
        <is>
          <t xml:space="preserve">Time Deposit 1</t>
        </is>
      </c>
      <c r="C5" t="inlineStr" s="6">
        <is>
          <t xml:space="preserve">Time Deposit</t>
        </is>
      </c>
      <c r="D5" t="inlineStr" s="6">
        <is>
          <t xml:space="preserve">Maya - Time Deposit 1</t>
        </is>
      </c>
      <c r="E5" s="3">
        <v>0.06</v>
      </c>
      <c r="F5" t="inlineStr" s="6">
        <is>
          <t xml:space="preserve">Monthly</t>
        </is>
      </c>
      <c r="G5" s="7">
        <v>100000</v>
      </c>
      <c r="H5" s="3">
        <f>IF(F5="Daily",E5/365,E5/12)</f>
      </c>
      <c r="I5" s="4">
        <f>G5*H5</f>
      </c>
      <c r="J5" s="5">
        <f>IF(F5="Daily",365,12)</f>
      </c>
      <c r="K5" s="4">
        <f>G5*(1+H5)^J5</f>
      </c>
      <c r="L5" s="4">
        <f>K5-G5</f>
      </c>
    </row>
    <row r="6">
      <c r="A6" t="inlineStr" s="6">
        <is>
          <t xml:space="preserve">Maya</t>
        </is>
      </c>
      <c r="B6" t="inlineStr" s="6">
        <is>
          <t xml:space="preserve">Time Deposit 2</t>
        </is>
      </c>
      <c r="C6" t="inlineStr" s="6">
        <is>
          <t xml:space="preserve">Time Deposit</t>
        </is>
      </c>
      <c r="D6" t="inlineStr" s="6">
        <is>
          <t xml:space="preserve">Maya - Time Deposit 2</t>
        </is>
      </c>
      <c r="E6" s="3">
        <v>0.06</v>
      </c>
      <c r="F6" t="inlineStr" s="6">
        <is>
          <t xml:space="preserve">Monthly</t>
        </is>
      </c>
      <c r="G6" s="7">
        <v>100000</v>
      </c>
      <c r="H6" s="3">
        <f>IF(F6="Daily",E6/365,E6/12)</f>
      </c>
      <c r="I6" s="4">
        <f>G6*H6</f>
      </c>
      <c r="J6" s="5">
        <f>IF(F6="Daily",365,12)</f>
      </c>
      <c r="K6" s="4">
        <f>G6*(1+H6)^J6</f>
      </c>
      <c r="L6" s="4">
        <f>K6-G6</f>
      </c>
    </row>
    <row r="7">
      <c r="A7" t="inlineStr" s="6">
        <is>
          <t xml:space="preserve">Maya</t>
        </is>
      </c>
      <c r="B7" t="inlineStr" s="6">
        <is>
          <t xml:space="preserve">Personal Goal</t>
        </is>
      </c>
      <c r="C7" t="inlineStr" s="6">
        <is>
          <t xml:space="preserve">Goal</t>
        </is>
      </c>
      <c r="D7" t="inlineStr" s="6">
        <is>
          <t xml:space="preserve">Maya - Personal Goal</t>
        </is>
      </c>
      <c r="E7" s="3">
        <v>0.056</v>
      </c>
      <c r="F7" t="inlineStr" s="6">
        <is>
          <t xml:space="preserve">Monthly</t>
        </is>
      </c>
      <c r="G7" s="7">
        <v>25000</v>
      </c>
      <c r="H7" s="3">
        <f>IF(F7="Daily",E7/365,E7/12)</f>
      </c>
      <c r="I7" s="4">
        <f>G7*H7</f>
      </c>
      <c r="J7" s="5">
        <f>IF(F7="Daily",365,12)</f>
      </c>
      <c r="K7" s="4">
        <f>G7*(1+H7)^J7</f>
      </c>
      <c r="L7" s="4">
        <f>K7-G7</f>
      </c>
    </row>
    <row r="8">
      <c r="A8" t="inlineStr" s="6">
        <is>
          <t xml:space="preserve">UNO</t>
        </is>
      </c>
      <c r="B8" t="inlineStr" s="6">
        <is>
          <t xml:space="preserve">Digi Savings</t>
        </is>
      </c>
      <c r="C8" t="inlineStr" s="6">
        <is>
          <t xml:space="preserve">Savings</t>
        </is>
      </c>
      <c r="D8" t="inlineStr" s="6">
        <is>
          <t xml:space="preserve">UNO - Digi Savings</t>
        </is>
      </c>
      <c r="E8" s="3">
        <v>0.035</v>
      </c>
      <c r="F8" t="inlineStr" s="6">
        <is>
          <t xml:space="preserve">Daily</t>
        </is>
      </c>
      <c r="G8" s="7">
        <v>20000</v>
      </c>
      <c r="H8" s="3">
        <f>IF(F8="Daily",E8/365,E8/12)</f>
      </c>
      <c r="I8" s="4">
        <f>G8*H8</f>
      </c>
      <c r="J8" s="5">
        <f>IF(F8="Daily",365,12)</f>
      </c>
      <c r="K8" s="4">
        <f>G8*(1+H8)^J8</f>
      </c>
      <c r="L8" s="4">
        <f>K8-G8</f>
      </c>
    </row>
    <row r="9">
      <c r="A9" t="inlineStr" s="6">
        <is>
          <t xml:space="preserve">UNO</t>
        </is>
      </c>
      <c r="B9" t="inlineStr" s="6">
        <is>
          <t xml:space="preserve">Time Deposit 1</t>
        </is>
      </c>
      <c r="C9" t="inlineStr" s="6">
        <is>
          <t xml:space="preserve">Time Deposit</t>
        </is>
      </c>
      <c r="D9" t="inlineStr" s="6">
        <is>
          <t xml:space="preserve">UNO - Time Deposit 1</t>
        </is>
      </c>
      <c r="E9" s="3">
        <v>0.06</v>
      </c>
      <c r="F9" t="inlineStr" s="6">
        <is>
          <t xml:space="preserve">Monthly</t>
        </is>
      </c>
      <c r="G9" s="7">
        <v>50000</v>
      </c>
      <c r="H9" s="3">
        <f>IF(F9="Daily",E9/365,E9/12)</f>
      </c>
      <c r="I9" s="4">
        <f>G9*H9</f>
      </c>
      <c r="J9" s="5">
        <f>IF(F9="Daily",365,12)</f>
      </c>
      <c r="K9" s="4">
        <f>G9*(1+H9)^J9</f>
      </c>
      <c r="L9" s="4">
        <f>K9-G9</f>
      </c>
    </row>
    <row r="10">
      <c r="A10" t="inlineStr" s="6">
        <is>
          <t xml:space="preserve">UNO</t>
        </is>
      </c>
      <c r="B10" t="inlineStr" s="6">
        <is>
          <t xml:space="preserve">Time Deposit 2</t>
        </is>
      </c>
      <c r="C10" t="inlineStr" s="6">
        <is>
          <t xml:space="preserve">Time Deposit</t>
        </is>
      </c>
      <c r="D10" t="inlineStr" s="6">
        <is>
          <t xml:space="preserve">UNO - Time Deposit 2</t>
        </is>
      </c>
      <c r="E10" s="3">
        <v>0.06</v>
      </c>
      <c r="F10" t="inlineStr" s="6">
        <is>
          <t xml:space="preserve">Monthly</t>
        </is>
      </c>
      <c r="G10" s="7">
        <v>50000</v>
      </c>
      <c r="H10" s="3">
        <f>IF(F10="Daily",E10/365,E10/12)</f>
      </c>
      <c r="I10" s="4">
        <f>G10*H10</f>
      </c>
      <c r="J10" s="5">
        <f>IF(F10="Daily",365,12)</f>
      </c>
      <c r="K10" s="4">
        <f>G10*(1+H10)^J10</f>
      </c>
      <c r="L10" s="4">
        <f>K10-G10</f>
      </c>
    </row>
    <row r="11">
      <c r="A11" t="inlineStr" s="6">
        <is>
          <t xml:space="preserve">Tonik</t>
        </is>
      </c>
      <c r="B11" t="inlineStr" s="6">
        <is>
          <t xml:space="preserve">Stash 1</t>
        </is>
      </c>
      <c r="C11" t="inlineStr" s="6">
        <is>
          <t xml:space="preserve">Savings</t>
        </is>
      </c>
      <c r="D11" t="inlineStr" s="6">
        <is>
          <t xml:space="preserve">Tonik - Stash 1</t>
        </is>
      </c>
      <c r="E11" s="3">
        <v>0.04</v>
      </c>
      <c r="F11" t="inlineStr" s="6">
        <is>
          <t xml:space="preserve">Monthly</t>
        </is>
      </c>
      <c r="G11" s="7">
        <v>10000</v>
      </c>
      <c r="H11" s="3">
        <f>IF(F11="Daily",E11/365,E11/12)</f>
      </c>
      <c r="I11" s="4">
        <f>G11*H11</f>
      </c>
      <c r="J11" s="5">
        <f>IF(F11="Daily",365,12)</f>
      </c>
      <c r="K11" s="4">
        <f>G11*(1+H11)^J11</f>
      </c>
      <c r="L11" s="4">
        <f>K11-G11</f>
      </c>
    </row>
    <row r="12">
      <c r="A12" t="inlineStr" s="6">
        <is>
          <t xml:space="preserve">Tonik</t>
        </is>
      </c>
      <c r="B12" t="inlineStr" s="6">
        <is>
          <t xml:space="preserve">Stash 2</t>
        </is>
      </c>
      <c r="C12" t="inlineStr" s="6">
        <is>
          <t xml:space="preserve">Savings</t>
        </is>
      </c>
      <c r="D12" t="inlineStr" s="6">
        <is>
          <t xml:space="preserve">Tonik - Stash 2</t>
        </is>
      </c>
      <c r="E12" s="3">
        <v>0.04</v>
      </c>
      <c r="F12" t="inlineStr" s="6">
        <is>
          <t xml:space="preserve">Monthly</t>
        </is>
      </c>
      <c r="G12" s="7">
        <v>10000</v>
      </c>
      <c r="H12" s="3">
        <f>IF(F12="Daily",E12/365,E12/12)</f>
      </c>
      <c r="I12" s="4">
        <f>G12*H12</f>
      </c>
      <c r="J12" s="5">
        <f>IF(F12="Daily",365,12)</f>
      </c>
      <c r="K12" s="4">
        <f>G12*(1+H12)^J12</f>
      </c>
      <c r="L12" s="4">
        <f>K12-G12</f>
      </c>
    </row>
    <row r="13">
      <c r="A13" t="inlineStr" s="6">
        <is>
          <t xml:space="preserve">Tonik</t>
        </is>
      </c>
      <c r="B13" t="inlineStr" s="6">
        <is>
          <t xml:space="preserve">Time Deposit</t>
        </is>
      </c>
      <c r="C13" t="inlineStr" s="6">
        <is>
          <t xml:space="preserve">Time Deposit</t>
        </is>
      </c>
      <c r="D13" t="inlineStr" s="6">
        <is>
          <t xml:space="preserve">Tonik - Time Deposit</t>
        </is>
      </c>
      <c r="E13" s="3">
        <v>0.08</v>
      </c>
      <c r="F13" t="inlineStr" s="6">
        <is>
          <t xml:space="preserve">Monthly</t>
        </is>
      </c>
      <c r="G13" s="7">
        <v>30000</v>
      </c>
      <c r="H13" s="3">
        <f>IF(F13="Daily",E13/365,E13/12)</f>
      </c>
      <c r="I13" s="4">
        <f>G13*H13</f>
      </c>
      <c r="J13" s="5">
        <f>IF(F13="Daily",365,12)</f>
      </c>
      <c r="K13" s="4">
        <f>G13*(1+H13)^J13</f>
      </c>
      <c r="L13" s="4">
        <f>K13-G13</f>
      </c>
    </row>
    <row r="14">
      <c r="A14" t="inlineStr" s="6">
        <is>
          <t xml:space="preserve">Banko</t>
        </is>
      </c>
      <c r="B14" t="inlineStr" s="6">
        <is>
          <t xml:space="preserve">Savings</t>
        </is>
      </c>
      <c r="C14" t="inlineStr" s="6">
        <is>
          <t xml:space="preserve">Savings</t>
        </is>
      </c>
      <c r="D14" t="inlineStr" s="6">
        <is>
          <t xml:space="preserve">Banko - Savings</t>
        </is>
      </c>
      <c r="E14" s="3">
        <v>0.05</v>
      </c>
      <c r="F14" t="inlineStr" s="6">
        <is>
          <t xml:space="preserve">Daily</t>
        </is>
      </c>
      <c r="G14" s="7">
        <v>15000</v>
      </c>
      <c r="H14" s="3">
        <f>IF(F14="Daily",E14/365,E14/12)</f>
      </c>
      <c r="I14" s="4">
        <f>G14*H14</f>
      </c>
      <c r="J14" s="5">
        <f>IF(F14="Daily",365,12)</f>
      </c>
      <c r="K14" s="4">
        <f>G14*(1+H14)^J14</f>
      </c>
      <c r="L14" s="4">
        <f>K14-G14</f>
      </c>
    </row>
    <row r="15">
      <c r="A15" t="inlineStr" s="6">
        <is>
          <t xml:space="preserve">CIMB</t>
        </is>
      </c>
      <c r="B15" t="inlineStr" s="6">
        <is>
          <t xml:space="preserve">Savings</t>
        </is>
      </c>
      <c r="C15" t="inlineStr" s="6">
        <is>
          <t xml:space="preserve">Savings</t>
        </is>
      </c>
      <c r="D15" t="inlineStr" s="6">
        <is>
          <t xml:space="preserve">CIMB - Savings</t>
        </is>
      </c>
      <c r="E15" s="3">
        <v>0.023</v>
      </c>
      <c r="F15" t="inlineStr" s="6">
        <is>
          <t xml:space="preserve">Daily</t>
        </is>
      </c>
      <c r="G15" s="7">
        <v>10000</v>
      </c>
      <c r="H15" s="3">
        <f>IF(F15="Daily",E15/365,E15/12)</f>
      </c>
      <c r="I15" s="4">
        <f>G15*H15</f>
      </c>
      <c r="J15" s="5">
        <f>IF(F15="Daily",365,12)</f>
      </c>
      <c r="K15" s="4">
        <f>G15*(1+H15)^J15</f>
      </c>
      <c r="L15" s="4">
        <f>K15-G15</f>
      </c>
    </row>
    <row r="16">
      <c r="A16" t="inlineStr" s="6">
        <is>
          <t xml:space="preserve">GoTyme</t>
        </is>
      </c>
      <c r="B16" t="inlineStr" s="6">
        <is>
          <t xml:space="preserve">GoSave</t>
        </is>
      </c>
      <c r="C16" t="inlineStr" s="6">
        <is>
          <t xml:space="preserve">Savings</t>
        </is>
      </c>
      <c r="D16" t="inlineStr" s="6">
        <is>
          <t xml:space="preserve">GoTyme - GoSave</t>
        </is>
      </c>
      <c r="E16" s="3">
        <v>0.03</v>
      </c>
      <c r="F16" t="inlineStr" s="6">
        <is>
          <t xml:space="preserve">Monthly</t>
        </is>
      </c>
      <c r="G16" s="7">
        <v>12000</v>
      </c>
      <c r="H16" s="3">
        <f>IF(F16="Daily",E16/365,E16/12)</f>
      </c>
      <c r="I16" s="4">
        <f>G16*H16</f>
      </c>
      <c r="J16" s="5">
        <f>IF(F16="Daily",365,12)</f>
      </c>
      <c r="K16" s="4">
        <f>G16*(1+H16)^J16</f>
      </c>
      <c r="L16" s="4">
        <f>K16-G16</f>
      </c>
    </row>
    <row r="17">
      <c r="A17" t="inlineStr" s="6">
        <is>
          <t xml:space="preserve">Maribank</t>
        </is>
      </c>
      <c r="B17" t="inlineStr" s="6">
        <is>
          <t xml:space="preserve">Savings</t>
        </is>
      </c>
      <c r="C17" t="inlineStr" s="6">
        <is>
          <t xml:space="preserve">Savings</t>
        </is>
      </c>
      <c r="D17" t="inlineStr" s="6">
        <is>
          <t xml:space="preserve">Maribank - Savings</t>
        </is>
      </c>
      <c r="E17" s="3">
        <v>0.0325</v>
      </c>
      <c r="F17" t="inlineStr" s="6">
        <is>
          <t xml:space="preserve">Daily</t>
        </is>
      </c>
      <c r="G17" s="7">
        <v>8000</v>
      </c>
      <c r="H17" s="3">
        <f>IF(F17="Daily",E17/365,E17/12)</f>
      </c>
      <c r="I17" s="4">
        <f>G17*H17</f>
      </c>
      <c r="J17" s="5">
        <f>IF(F17="Daily",365,12)</f>
      </c>
      <c r="K17" s="4">
        <f>G17*(1+H17)^J17</f>
      </c>
      <c r="L17" s="4">
        <f>K17-G17</f>
      </c>
    </row>
    <row r="18">
      <c r="A18" t="inlineStr" s="9">
        <is>
          <t xml:space="preserve">TOTAL</t>
        </is>
      </c>
      <c r="B18" t="inlineStr" s="9">
        <is>
          <t xml:space="preserve"/>
        </is>
      </c>
      <c r="C18" t="inlineStr" s="9">
        <is>
          <t xml:space="preserve"/>
        </is>
      </c>
      <c r="D18" t="inlineStr" s="9">
        <is>
          <t xml:space="preserve"/>
        </is>
      </c>
      <c r="E18" t="inlineStr" s="9">
        <is>
          <t xml:space="preserve"/>
        </is>
      </c>
      <c r="F18" t="inlineStr" s="9">
        <is>
          <t xml:space="preserve"/>
        </is>
      </c>
      <c r="G18" s="8">
        <f>SUM(G4:G17)</f>
      </c>
      <c r="H18" t="inlineStr" s="9">
        <is>
          <t xml:space="preserve"/>
        </is>
      </c>
      <c r="I18" s="8">
        <f>SUM(I4:I17)</f>
      </c>
      <c r="J18" t="inlineStr" s="9">
        <is>
          <t xml:space="preserve"/>
        </is>
      </c>
      <c r="K18" s="8">
        <f>SUM(K4:K17)</f>
      </c>
      <c r="L18" s="8">
        <f>SUM(L4:L17)</f>
      </c>
    </row>
  </sheetData>
  <mergeCells count="2">
    <mergeCell ref="A1:L1"/>
    <mergeCell ref="A2:L2"/>
  </mergeCells>
</worksheet>
</file>